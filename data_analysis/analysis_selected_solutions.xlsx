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dos\Dafny\TESTDAFNY110\data_analysis\"/>
    </mc:Choice>
  </mc:AlternateContent>
  <xr:revisionPtr revIDLastSave="0" documentId="13_ncr:1_{18B6EEB2-6D94-4432-BEFF-E0FBA7E4F7B6}" xr6:coauthVersionLast="47" xr6:coauthVersionMax="47" xr10:uidLastSave="{00000000-0000-0000-0000-000000000000}"/>
  <bookViews>
    <workbookView xWindow="-98" yWindow="-98" windowWidth="21795" windowHeight="12975" activeTab="1" xr2:uid="{AD00872A-3429-4154-B9D8-B04F44A65181}"/>
  </bookViews>
  <sheets>
    <sheet name="comparison_with_manual_solution" sheetId="1" r:id="rId1"/>
    <sheet name="locs" sheetId="2" r:id="rId2"/>
    <sheet name="locs_manual_and_stripped" sheetId="3" r:id="rId3"/>
    <sheet name="locs_llm" sheetId="4" r:id="rId4"/>
    <sheet name="locs_minimized" sheetId="5" r:id="rId5"/>
  </sheets>
  <definedNames>
    <definedName name="_xlnm._FilterDatabase" localSheetId="0" hidden="1">comparison_with_manual_solution!$A$1:$G$111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2" i="2" l="1"/>
  <c r="E122" i="1"/>
  <c r="E121" i="1"/>
  <c r="E120" i="1"/>
  <c r="E119" i="1"/>
  <c r="E118" i="1"/>
  <c r="E117" i="1"/>
  <c r="E116" i="1"/>
  <c r="E115" i="1"/>
  <c r="E114" i="1"/>
  <c r="E113" i="1"/>
  <c r="C113" i="1"/>
  <c r="D122" i="1"/>
  <c r="B119" i="1"/>
  <c r="C119" i="1" s="1"/>
  <c r="D119" i="1"/>
  <c r="D121" i="1"/>
  <c r="D120" i="1"/>
  <c r="D118" i="1"/>
  <c r="D117" i="1"/>
  <c r="D116" i="1"/>
  <c r="D115" i="1"/>
  <c r="D114" i="1"/>
  <c r="D113" i="1"/>
  <c r="B113" i="1"/>
  <c r="C33" i="3"/>
  <c r="E31" i="2" s="1"/>
  <c r="F109" i="2"/>
  <c r="E109" i="2"/>
  <c r="D109" i="2"/>
  <c r="F108" i="2"/>
  <c r="E108" i="2"/>
  <c r="D108" i="2"/>
  <c r="F107" i="2"/>
  <c r="E107" i="2"/>
  <c r="D107" i="2"/>
  <c r="F106" i="2"/>
  <c r="E106" i="2"/>
  <c r="D106" i="2"/>
  <c r="F105" i="2"/>
  <c r="E105" i="2"/>
  <c r="D105" i="2"/>
  <c r="F104" i="2"/>
  <c r="E104" i="2"/>
  <c r="D104" i="2"/>
  <c r="F103" i="2"/>
  <c r="E103" i="2"/>
  <c r="D103" i="2"/>
  <c r="F102" i="2"/>
  <c r="E102" i="2"/>
  <c r="D102" i="2"/>
  <c r="F101" i="2"/>
  <c r="E101" i="2"/>
  <c r="D101" i="2"/>
  <c r="F100" i="2"/>
  <c r="E100" i="2"/>
  <c r="D100" i="2"/>
  <c r="F99" i="2"/>
  <c r="E99" i="2"/>
  <c r="D99" i="2"/>
  <c r="F98" i="2"/>
  <c r="E98" i="2"/>
  <c r="D98" i="2"/>
  <c r="F97" i="2"/>
  <c r="E97" i="2"/>
  <c r="D97" i="2"/>
  <c r="F96" i="2"/>
  <c r="E96" i="2"/>
  <c r="D96" i="2"/>
  <c r="F95" i="2"/>
  <c r="E95" i="2"/>
  <c r="D95" i="2"/>
  <c r="F94" i="2"/>
  <c r="E94" i="2"/>
  <c r="D94" i="2"/>
  <c r="F93" i="2"/>
  <c r="E93" i="2"/>
  <c r="D93" i="2"/>
  <c r="F92" i="2"/>
  <c r="E92" i="2"/>
  <c r="D92" i="2"/>
  <c r="F91" i="2"/>
  <c r="E91" i="2"/>
  <c r="D91" i="2"/>
  <c r="F90" i="2"/>
  <c r="E90" i="2"/>
  <c r="D90" i="2"/>
  <c r="F89" i="2"/>
  <c r="E89" i="2"/>
  <c r="D89" i="2"/>
  <c r="F88" i="2"/>
  <c r="E88" i="2"/>
  <c r="D88" i="2"/>
  <c r="F87" i="2"/>
  <c r="E87" i="2"/>
  <c r="D87" i="2"/>
  <c r="F86" i="2"/>
  <c r="E86" i="2"/>
  <c r="D86" i="2"/>
  <c r="F85" i="2"/>
  <c r="E85" i="2"/>
  <c r="D85" i="2"/>
  <c r="F84" i="2"/>
  <c r="E84" i="2"/>
  <c r="D84" i="2"/>
  <c r="F83" i="2"/>
  <c r="E83" i="2"/>
  <c r="D83" i="2"/>
  <c r="F82" i="2"/>
  <c r="E82" i="2"/>
  <c r="D82" i="2"/>
  <c r="F81" i="2"/>
  <c r="E81" i="2"/>
  <c r="D81" i="2"/>
  <c r="F80" i="2"/>
  <c r="E80" i="2"/>
  <c r="D80" i="2"/>
  <c r="F79" i="2"/>
  <c r="E79" i="2"/>
  <c r="D79" i="2"/>
  <c r="F78" i="2"/>
  <c r="E78" i="2"/>
  <c r="D78" i="2"/>
  <c r="F77" i="2"/>
  <c r="E77" i="2"/>
  <c r="D77" i="2"/>
  <c r="F76" i="2"/>
  <c r="E76" i="2"/>
  <c r="D76" i="2"/>
  <c r="F75" i="2"/>
  <c r="E75" i="2"/>
  <c r="D75" i="2"/>
  <c r="F74" i="2"/>
  <c r="E74" i="2"/>
  <c r="D74" i="2"/>
  <c r="F73" i="2"/>
  <c r="E73" i="2"/>
  <c r="D73" i="2"/>
  <c r="F72" i="2"/>
  <c r="E72" i="2"/>
  <c r="D72" i="2"/>
  <c r="F71" i="2"/>
  <c r="E71" i="2"/>
  <c r="D71" i="2"/>
  <c r="F70" i="2"/>
  <c r="E70" i="2"/>
  <c r="D70" i="2"/>
  <c r="F69" i="2"/>
  <c r="E69" i="2"/>
  <c r="D69" i="2"/>
  <c r="F68" i="2"/>
  <c r="E68" i="2"/>
  <c r="D68" i="2"/>
  <c r="F67" i="2"/>
  <c r="E67" i="2"/>
  <c r="D67" i="2"/>
  <c r="F66" i="2"/>
  <c r="E66" i="2"/>
  <c r="D66" i="2"/>
  <c r="F65" i="2"/>
  <c r="E65" i="2"/>
  <c r="D65" i="2"/>
  <c r="F64" i="2"/>
  <c r="E64" i="2"/>
  <c r="D64" i="2"/>
  <c r="F63" i="2"/>
  <c r="E63" i="2"/>
  <c r="D63" i="2"/>
  <c r="F62" i="2"/>
  <c r="E62" i="2"/>
  <c r="D62" i="2"/>
  <c r="F61" i="2"/>
  <c r="E61" i="2"/>
  <c r="D61" i="2"/>
  <c r="F60" i="2"/>
  <c r="E60" i="2"/>
  <c r="D60" i="2"/>
  <c r="F59" i="2"/>
  <c r="E59" i="2"/>
  <c r="D59" i="2"/>
  <c r="F58" i="2"/>
  <c r="E58" i="2"/>
  <c r="D58" i="2"/>
  <c r="F57" i="2"/>
  <c r="E57" i="2"/>
  <c r="D57" i="2"/>
  <c r="F56" i="2"/>
  <c r="E56" i="2"/>
  <c r="D56" i="2"/>
  <c r="F55" i="2"/>
  <c r="E55" i="2"/>
  <c r="D55" i="2"/>
  <c r="F54" i="2"/>
  <c r="E54" i="2"/>
  <c r="D54" i="2"/>
  <c r="F53" i="2"/>
  <c r="E53" i="2"/>
  <c r="D53" i="2"/>
  <c r="F52" i="2"/>
  <c r="E52" i="2"/>
  <c r="D52" i="2"/>
  <c r="F51" i="2"/>
  <c r="E51" i="2"/>
  <c r="D51" i="2"/>
  <c r="F50" i="2"/>
  <c r="E50" i="2"/>
  <c r="D50" i="2"/>
  <c r="F49" i="2"/>
  <c r="E49" i="2"/>
  <c r="D49" i="2"/>
  <c r="F48" i="2"/>
  <c r="E48" i="2"/>
  <c r="D48" i="2"/>
  <c r="F47" i="2"/>
  <c r="E47" i="2"/>
  <c r="D47" i="2"/>
  <c r="F46" i="2"/>
  <c r="E46" i="2"/>
  <c r="D46" i="2"/>
  <c r="F45" i="2"/>
  <c r="E45" i="2"/>
  <c r="D45" i="2"/>
  <c r="F44" i="2"/>
  <c r="E44" i="2"/>
  <c r="D44" i="2"/>
  <c r="F43" i="2"/>
  <c r="E43" i="2"/>
  <c r="D43" i="2"/>
  <c r="F42" i="2"/>
  <c r="E42" i="2"/>
  <c r="D42" i="2"/>
  <c r="F41" i="2"/>
  <c r="E41" i="2"/>
  <c r="D41" i="2"/>
  <c r="F40" i="2"/>
  <c r="E40" i="2"/>
  <c r="D40" i="2"/>
  <c r="F39" i="2"/>
  <c r="E39" i="2"/>
  <c r="D39" i="2"/>
  <c r="F38" i="2"/>
  <c r="E38" i="2"/>
  <c r="D38" i="2"/>
  <c r="F37" i="2"/>
  <c r="E37" i="2"/>
  <c r="D37" i="2"/>
  <c r="F36" i="2"/>
  <c r="E36" i="2"/>
  <c r="D36" i="2"/>
  <c r="F35" i="2"/>
  <c r="E35" i="2"/>
  <c r="D35" i="2"/>
  <c r="F34" i="2"/>
  <c r="E34" i="2"/>
  <c r="D34" i="2"/>
  <c r="F33" i="2"/>
  <c r="E33" i="2"/>
  <c r="D33" i="2"/>
  <c r="F32" i="2"/>
  <c r="E32" i="2"/>
  <c r="D32" i="2"/>
  <c r="F31" i="2"/>
  <c r="D31" i="2"/>
  <c r="F30" i="2"/>
  <c r="E30" i="2"/>
  <c r="D30" i="2"/>
  <c r="F29" i="2"/>
  <c r="E29" i="2"/>
  <c r="D29" i="2"/>
  <c r="F28" i="2"/>
  <c r="E28" i="2"/>
  <c r="D28" i="2"/>
  <c r="F27" i="2"/>
  <c r="E27" i="2"/>
  <c r="D27" i="2"/>
  <c r="F26" i="2"/>
  <c r="E26" i="2"/>
  <c r="D26" i="2"/>
  <c r="F25" i="2"/>
  <c r="E25" i="2"/>
  <c r="D25" i="2"/>
  <c r="F24" i="2"/>
  <c r="E24" i="2"/>
  <c r="D24" i="2"/>
  <c r="F23" i="2"/>
  <c r="E23" i="2"/>
  <c r="D23" i="2"/>
  <c r="F22" i="2"/>
  <c r="E22" i="2"/>
  <c r="D22" i="2"/>
  <c r="F21" i="2"/>
  <c r="E21" i="2"/>
  <c r="D21" i="2"/>
  <c r="F20" i="2"/>
  <c r="E20" i="2"/>
  <c r="D20" i="2"/>
  <c r="F19" i="2"/>
  <c r="E19" i="2"/>
  <c r="D19" i="2"/>
  <c r="F18" i="2"/>
  <c r="E18" i="2"/>
  <c r="D18" i="2"/>
  <c r="F17" i="2"/>
  <c r="E17" i="2"/>
  <c r="D17" i="2"/>
  <c r="F16" i="2"/>
  <c r="E16" i="2"/>
  <c r="D16" i="2"/>
  <c r="F15" i="2"/>
  <c r="E15" i="2"/>
  <c r="D15" i="2"/>
  <c r="F14" i="2"/>
  <c r="E14" i="2"/>
  <c r="D14" i="2"/>
  <c r="F13" i="2"/>
  <c r="E13" i="2"/>
  <c r="D13" i="2"/>
  <c r="F12" i="2"/>
  <c r="E12" i="2"/>
  <c r="D12" i="2"/>
  <c r="F11" i="2"/>
  <c r="E11" i="2"/>
  <c r="D11" i="2"/>
  <c r="F10" i="2"/>
  <c r="E10" i="2"/>
  <c r="D10" i="2"/>
  <c r="F9" i="2"/>
  <c r="E9" i="2"/>
  <c r="D9" i="2"/>
  <c r="F8" i="2"/>
  <c r="E8" i="2"/>
  <c r="D8" i="2"/>
  <c r="F7" i="2"/>
  <c r="E7" i="2"/>
  <c r="D7" i="2"/>
  <c r="F6" i="2"/>
  <c r="E6" i="2"/>
  <c r="D6" i="2"/>
  <c r="F5" i="2"/>
  <c r="E5" i="2"/>
  <c r="D5" i="2"/>
  <c r="F4" i="2"/>
  <c r="E4" i="2"/>
  <c r="D4" i="2"/>
  <c r="F3" i="2"/>
  <c r="E3" i="2"/>
  <c r="D3" i="2"/>
  <c r="F2" i="2"/>
  <c r="E2" i="2"/>
  <c r="D2" i="2"/>
  <c r="D110" i="2" l="1"/>
  <c r="F110" i="2"/>
  <c r="E110" i="2"/>
  <c r="F111" i="2" l="1"/>
  <c r="C109" i="2"/>
  <c r="G109" i="2" s="1"/>
  <c r="I109" i="2" s="1"/>
  <c r="C108" i="2"/>
  <c r="G108" i="2" s="1"/>
  <c r="I108" i="2" s="1"/>
  <c r="C107" i="2"/>
  <c r="G107" i="2" s="1"/>
  <c r="I107" i="2" s="1"/>
  <c r="C106" i="2"/>
  <c r="G106" i="2" s="1"/>
  <c r="I106" i="2" s="1"/>
  <c r="C105" i="2"/>
  <c r="G105" i="2" s="1"/>
  <c r="I105" i="2" s="1"/>
  <c r="C104" i="2"/>
  <c r="G104" i="2" s="1"/>
  <c r="I104" i="2" s="1"/>
  <c r="C103" i="2"/>
  <c r="G103" i="2" s="1"/>
  <c r="I103" i="2" s="1"/>
  <c r="C102" i="2"/>
  <c r="G102" i="2" s="1"/>
  <c r="I102" i="2" s="1"/>
  <c r="C101" i="2"/>
  <c r="G101" i="2" s="1"/>
  <c r="I101" i="2" s="1"/>
  <c r="C100" i="2"/>
  <c r="G100" i="2" s="1"/>
  <c r="I100" i="2" s="1"/>
  <c r="C99" i="2"/>
  <c r="G99" i="2" s="1"/>
  <c r="I99" i="2" s="1"/>
  <c r="C98" i="2"/>
  <c r="G98" i="2" s="1"/>
  <c r="I98" i="2" s="1"/>
  <c r="C97" i="2"/>
  <c r="G97" i="2" s="1"/>
  <c r="I97" i="2" s="1"/>
  <c r="C96" i="2"/>
  <c r="G96" i="2" s="1"/>
  <c r="I96" i="2" s="1"/>
  <c r="C95" i="2"/>
  <c r="G95" i="2" s="1"/>
  <c r="I95" i="2" s="1"/>
  <c r="C94" i="2"/>
  <c r="G94" i="2" s="1"/>
  <c r="I94" i="2" s="1"/>
  <c r="C93" i="2"/>
  <c r="G93" i="2" s="1"/>
  <c r="I93" i="2" s="1"/>
  <c r="C92" i="2"/>
  <c r="G92" i="2" s="1"/>
  <c r="I92" i="2" s="1"/>
  <c r="C91" i="2"/>
  <c r="G91" i="2" s="1"/>
  <c r="I91" i="2" s="1"/>
  <c r="C90" i="2"/>
  <c r="G90" i="2" s="1"/>
  <c r="I90" i="2" s="1"/>
  <c r="C89" i="2"/>
  <c r="G89" i="2" s="1"/>
  <c r="I89" i="2" s="1"/>
  <c r="C88" i="2"/>
  <c r="G88" i="2" s="1"/>
  <c r="I88" i="2" s="1"/>
  <c r="C87" i="2"/>
  <c r="G87" i="2" s="1"/>
  <c r="I87" i="2" s="1"/>
  <c r="C86" i="2"/>
  <c r="G86" i="2" s="1"/>
  <c r="I86" i="2" s="1"/>
  <c r="C85" i="2"/>
  <c r="G85" i="2" s="1"/>
  <c r="I85" i="2" s="1"/>
  <c r="C84" i="2"/>
  <c r="G84" i="2" s="1"/>
  <c r="I84" i="2" s="1"/>
  <c r="C83" i="2"/>
  <c r="G83" i="2" s="1"/>
  <c r="I83" i="2" s="1"/>
  <c r="C82" i="2"/>
  <c r="G82" i="2" s="1"/>
  <c r="I82" i="2" s="1"/>
  <c r="C81" i="2"/>
  <c r="G81" i="2" s="1"/>
  <c r="I81" i="2" s="1"/>
  <c r="C80" i="2"/>
  <c r="G80" i="2" s="1"/>
  <c r="I80" i="2" s="1"/>
  <c r="C79" i="2"/>
  <c r="G79" i="2" s="1"/>
  <c r="I79" i="2" s="1"/>
  <c r="C78" i="2"/>
  <c r="G78" i="2" s="1"/>
  <c r="I78" i="2" s="1"/>
  <c r="C77" i="2"/>
  <c r="G77" i="2" s="1"/>
  <c r="I77" i="2" s="1"/>
  <c r="C76" i="2"/>
  <c r="G76" i="2" s="1"/>
  <c r="I76" i="2" s="1"/>
  <c r="C75" i="2"/>
  <c r="G75" i="2" s="1"/>
  <c r="I75" i="2" s="1"/>
  <c r="C74" i="2"/>
  <c r="G74" i="2" s="1"/>
  <c r="I74" i="2" s="1"/>
  <c r="C73" i="2"/>
  <c r="G73" i="2" s="1"/>
  <c r="I73" i="2" s="1"/>
  <c r="C72" i="2"/>
  <c r="G72" i="2" s="1"/>
  <c r="I72" i="2" s="1"/>
  <c r="C71" i="2"/>
  <c r="G71" i="2" s="1"/>
  <c r="I71" i="2" s="1"/>
  <c r="C70" i="2"/>
  <c r="G70" i="2" s="1"/>
  <c r="I70" i="2" s="1"/>
  <c r="C69" i="2"/>
  <c r="G69" i="2" s="1"/>
  <c r="I69" i="2" s="1"/>
  <c r="C68" i="2"/>
  <c r="G68" i="2" s="1"/>
  <c r="I68" i="2" s="1"/>
  <c r="C67" i="2"/>
  <c r="G67" i="2" s="1"/>
  <c r="I67" i="2" s="1"/>
  <c r="C66" i="2"/>
  <c r="G66" i="2" s="1"/>
  <c r="I66" i="2" s="1"/>
  <c r="C65" i="2"/>
  <c r="G65" i="2" s="1"/>
  <c r="I65" i="2" s="1"/>
  <c r="C64" i="2"/>
  <c r="G64" i="2" s="1"/>
  <c r="I64" i="2" s="1"/>
  <c r="C63" i="2"/>
  <c r="G63" i="2" s="1"/>
  <c r="I63" i="2" s="1"/>
  <c r="C62" i="2"/>
  <c r="G62" i="2" s="1"/>
  <c r="I62" i="2" s="1"/>
  <c r="C61" i="2"/>
  <c r="G61" i="2" s="1"/>
  <c r="I61" i="2" s="1"/>
  <c r="C60" i="2"/>
  <c r="G60" i="2" s="1"/>
  <c r="I60" i="2" s="1"/>
  <c r="C59" i="2"/>
  <c r="G59" i="2" s="1"/>
  <c r="I59" i="2" s="1"/>
  <c r="C58" i="2"/>
  <c r="G58" i="2" s="1"/>
  <c r="I58" i="2" s="1"/>
  <c r="C57" i="2"/>
  <c r="G57" i="2" s="1"/>
  <c r="I57" i="2" s="1"/>
  <c r="C56" i="2"/>
  <c r="G56" i="2" s="1"/>
  <c r="I56" i="2" s="1"/>
  <c r="C55" i="2"/>
  <c r="G55" i="2" s="1"/>
  <c r="I55" i="2" s="1"/>
  <c r="C54" i="2"/>
  <c r="G54" i="2" s="1"/>
  <c r="I54" i="2" s="1"/>
  <c r="C53" i="2"/>
  <c r="G53" i="2" s="1"/>
  <c r="I53" i="2" s="1"/>
  <c r="C52" i="2"/>
  <c r="G52" i="2" s="1"/>
  <c r="I52" i="2" s="1"/>
  <c r="C51" i="2"/>
  <c r="G51" i="2" s="1"/>
  <c r="I51" i="2" s="1"/>
  <c r="C50" i="2"/>
  <c r="G50" i="2" s="1"/>
  <c r="I50" i="2" s="1"/>
  <c r="C49" i="2"/>
  <c r="G49" i="2" s="1"/>
  <c r="I49" i="2" s="1"/>
  <c r="C48" i="2"/>
  <c r="G48" i="2" s="1"/>
  <c r="I48" i="2" s="1"/>
  <c r="C47" i="2"/>
  <c r="G47" i="2" s="1"/>
  <c r="I47" i="2" s="1"/>
  <c r="C46" i="2"/>
  <c r="G46" i="2" s="1"/>
  <c r="I46" i="2" s="1"/>
  <c r="C45" i="2"/>
  <c r="G45" i="2" s="1"/>
  <c r="I45" i="2" s="1"/>
  <c r="C44" i="2"/>
  <c r="G44" i="2" s="1"/>
  <c r="I44" i="2" s="1"/>
  <c r="C43" i="2"/>
  <c r="G43" i="2" s="1"/>
  <c r="I43" i="2" s="1"/>
  <c r="C42" i="2"/>
  <c r="G42" i="2" s="1"/>
  <c r="I42" i="2" s="1"/>
  <c r="C41" i="2"/>
  <c r="G41" i="2" s="1"/>
  <c r="I41" i="2" s="1"/>
  <c r="C40" i="2"/>
  <c r="G40" i="2" s="1"/>
  <c r="I40" i="2" s="1"/>
  <c r="C39" i="2"/>
  <c r="G39" i="2" s="1"/>
  <c r="I39" i="2" s="1"/>
  <c r="C38" i="2"/>
  <c r="G38" i="2" s="1"/>
  <c r="I38" i="2" s="1"/>
  <c r="C37" i="2"/>
  <c r="G37" i="2" s="1"/>
  <c r="I37" i="2" s="1"/>
  <c r="C36" i="2"/>
  <c r="G36" i="2" s="1"/>
  <c r="I36" i="2" s="1"/>
  <c r="C35" i="2"/>
  <c r="G35" i="2" s="1"/>
  <c r="I35" i="2" s="1"/>
  <c r="C34" i="2"/>
  <c r="G34" i="2" s="1"/>
  <c r="I34" i="2" s="1"/>
  <c r="C33" i="2"/>
  <c r="G33" i="2" s="1"/>
  <c r="I33" i="2" s="1"/>
  <c r="C32" i="2"/>
  <c r="G32" i="2" s="1"/>
  <c r="I32" i="2" s="1"/>
  <c r="C31" i="2"/>
  <c r="G31" i="2" s="1"/>
  <c r="I31" i="2" s="1"/>
  <c r="C30" i="2"/>
  <c r="G30" i="2" s="1"/>
  <c r="I30" i="2" s="1"/>
  <c r="C29" i="2"/>
  <c r="G29" i="2" s="1"/>
  <c r="I29" i="2" s="1"/>
  <c r="C28" i="2"/>
  <c r="G28" i="2" s="1"/>
  <c r="I28" i="2" s="1"/>
  <c r="C27" i="2"/>
  <c r="G27" i="2" s="1"/>
  <c r="I27" i="2" s="1"/>
  <c r="C26" i="2"/>
  <c r="G26" i="2" s="1"/>
  <c r="I26" i="2" s="1"/>
  <c r="C25" i="2"/>
  <c r="G25" i="2" s="1"/>
  <c r="I25" i="2" s="1"/>
  <c r="C24" i="2"/>
  <c r="G24" i="2" s="1"/>
  <c r="I24" i="2" s="1"/>
  <c r="C23" i="2"/>
  <c r="G23" i="2" s="1"/>
  <c r="I23" i="2" s="1"/>
  <c r="C22" i="2"/>
  <c r="G22" i="2" s="1"/>
  <c r="I22" i="2" s="1"/>
  <c r="C21" i="2"/>
  <c r="G21" i="2" s="1"/>
  <c r="C20" i="2"/>
  <c r="G20" i="2" s="1"/>
  <c r="I20" i="2" s="1"/>
  <c r="C19" i="2"/>
  <c r="G19" i="2" s="1"/>
  <c r="I19" i="2" s="1"/>
  <c r="C18" i="2"/>
  <c r="G18" i="2" s="1"/>
  <c r="I18" i="2" s="1"/>
  <c r="C17" i="2"/>
  <c r="G17" i="2" s="1"/>
  <c r="I17" i="2" s="1"/>
  <c r="C16" i="2"/>
  <c r="G16" i="2" s="1"/>
  <c r="I16" i="2" s="1"/>
  <c r="C15" i="2"/>
  <c r="G15" i="2" s="1"/>
  <c r="I15" i="2" s="1"/>
  <c r="C14" i="2"/>
  <c r="G14" i="2" s="1"/>
  <c r="I14" i="2" s="1"/>
  <c r="C13" i="2"/>
  <c r="G13" i="2" s="1"/>
  <c r="I13" i="2" s="1"/>
  <c r="C12" i="2"/>
  <c r="G12" i="2" s="1"/>
  <c r="I12" i="2" s="1"/>
  <c r="C11" i="2"/>
  <c r="G11" i="2" s="1"/>
  <c r="I11" i="2" s="1"/>
  <c r="C10" i="2"/>
  <c r="G10" i="2" s="1"/>
  <c r="I10" i="2" s="1"/>
  <c r="C9" i="2"/>
  <c r="G9" i="2" s="1"/>
  <c r="I9" i="2" s="1"/>
  <c r="C8" i="2"/>
  <c r="G8" i="2" s="1"/>
  <c r="I8" i="2" s="1"/>
  <c r="C7" i="2"/>
  <c r="G7" i="2" s="1"/>
  <c r="I7" i="2" s="1"/>
  <c r="C6" i="2"/>
  <c r="G6" i="2" s="1"/>
  <c r="I6" i="2" s="1"/>
  <c r="C5" i="2"/>
  <c r="G5" i="2" s="1"/>
  <c r="I5" i="2" s="1"/>
  <c r="C4" i="2"/>
  <c r="G4" i="2" s="1"/>
  <c r="I4" i="2" s="1"/>
  <c r="C3" i="2"/>
  <c r="G3" i="2" s="1"/>
  <c r="I3" i="2" s="1"/>
  <c r="C2" i="2"/>
  <c r="G2" i="2" s="1"/>
  <c r="I2" i="2" s="1"/>
  <c r="I21" i="2" l="1"/>
  <c r="G110" i="2"/>
  <c r="B121" i="1"/>
  <c r="C121" i="1" s="1"/>
  <c r="B120" i="1"/>
  <c r="C120" i="1" s="1"/>
  <c r="B118" i="1"/>
  <c r="C118" i="1" s="1"/>
  <c r="B117" i="1"/>
  <c r="C117" i="1" s="1"/>
  <c r="B116" i="1"/>
  <c r="C116" i="1" s="1"/>
  <c r="B115" i="1"/>
  <c r="C115" i="1" s="1"/>
  <c r="B114" i="1"/>
  <c r="G111" i="1"/>
  <c r="G110" i="1"/>
  <c r="G111" i="2" l="1"/>
  <c r="C114" i="1"/>
  <c r="B122" i="1"/>
  <c r="C122" i="1" s="1"/>
  <c r="I110" i="2"/>
  <c r="G2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<sst xmlns="http://schemas.openxmlformats.org/spreadsheetml/2006/main" count="982" uniqueCount="323">
  <si>
    <t>Filename</t>
  </si>
  <si>
    <t xml:space="preserve"> Attempt</t>
  </si>
  <si>
    <t>BinarySearch.dfy</t>
  </si>
  <si>
    <t>BubbleSort.dfy</t>
  </si>
  <si>
    <t>Catalan.dfy</t>
  </si>
  <si>
    <t>CombNK.dfy</t>
  </si>
  <si>
    <t>CountDistinct.dfy</t>
  </si>
  <si>
    <t>Div.dfy</t>
  </si>
  <si>
    <t>Factorial.dfy</t>
  </si>
  <si>
    <t>FastExponentiation.dfy</t>
  </si>
  <si>
    <t>Fibonacci.dfy</t>
  </si>
  <si>
    <t>FindMax.dfy</t>
  </si>
  <si>
    <t>InsertionSort.dfy</t>
  </si>
  <si>
    <t>IntersectIntervals.dfy</t>
  </si>
  <si>
    <t>LinearSearch.dfy</t>
  </si>
  <si>
    <t>LongestPrefix.dfy</t>
  </si>
  <si>
    <t>MakeBuckets.dfy</t>
  </si>
  <si>
    <t>MaxDistEqual.dfy</t>
  </si>
  <si>
    <t>Merge.dfy</t>
  </si>
  <si>
    <t>Mode.dfy</t>
  </si>
  <si>
    <t>PartitionOddEven.dfy</t>
  </si>
  <si>
    <t>RawSort.dfy</t>
  </si>
  <si>
    <t>Recaman.dfy</t>
  </si>
  <si>
    <t>RotateLeft.dfy</t>
  </si>
  <si>
    <t>SelectionSort.dfy</t>
  </si>
  <si>
    <t>task_id_105.dfy</t>
  </si>
  <si>
    <t>task_id_106.dfy</t>
  </si>
  <si>
    <t>task_id_113.dfy</t>
  </si>
  <si>
    <t>task_id_126.dfy</t>
  </si>
  <si>
    <t>task_id_133.dfy</t>
  </si>
  <si>
    <t>task_id_145.dfy</t>
  </si>
  <si>
    <t>task_id_161.dfy</t>
  </si>
  <si>
    <t>task_id_170.dfy</t>
  </si>
  <si>
    <t>task_id_18.dfy</t>
  </si>
  <si>
    <t>task_id_2.dfy</t>
  </si>
  <si>
    <t>task_id_230.dfy</t>
  </si>
  <si>
    <t>task_id_249.dfy</t>
  </si>
  <si>
    <t>task_id_251.dfy</t>
  </si>
  <si>
    <t>task_id_261.dfy</t>
  </si>
  <si>
    <t>task_id_267.dfy</t>
  </si>
  <si>
    <t>task_id_273.dfy</t>
  </si>
  <si>
    <t>task_id_282.dfy</t>
  </si>
  <si>
    <t>task_id_284.dfy</t>
  </si>
  <si>
    <t>task_id_290.dfy</t>
  </si>
  <si>
    <t>task_id_3.dfy</t>
  </si>
  <si>
    <t>task_id_310.dfy</t>
  </si>
  <si>
    <t>task_id_399.dfy</t>
  </si>
  <si>
    <t>task_id_401.dfy</t>
  </si>
  <si>
    <t>task_id_414.dfy</t>
  </si>
  <si>
    <t>task_id_424.dfy</t>
  </si>
  <si>
    <t>task_id_426.dfy</t>
  </si>
  <si>
    <t>task_id_431.dfy</t>
  </si>
  <si>
    <t>task_id_433.dfy</t>
  </si>
  <si>
    <t>task_id_436.dfy</t>
  </si>
  <si>
    <t>task_id_445.dfy</t>
  </si>
  <si>
    <t>task_id_447.dfy</t>
  </si>
  <si>
    <t>task_id_454.dfy</t>
  </si>
  <si>
    <t>task_id_457.dfy</t>
  </si>
  <si>
    <t>task_id_470.dfy</t>
  </si>
  <si>
    <t>task_id_472.dfy</t>
  </si>
  <si>
    <t>task_id_474.dfy</t>
  </si>
  <si>
    <t>task_id_476.dfy</t>
  </si>
  <si>
    <t>task_id_477.dfy</t>
  </si>
  <si>
    <t>task_id_555.dfy</t>
  </si>
  <si>
    <t>task_id_557.dfy</t>
  </si>
  <si>
    <t>task_id_566.dfy</t>
  </si>
  <si>
    <t>task_id_567.dfy</t>
  </si>
  <si>
    <t>task_id_572.dfy</t>
  </si>
  <si>
    <t>task_id_573.dfy</t>
  </si>
  <si>
    <t>task_id_576.dfy</t>
  </si>
  <si>
    <t>task_id_578.dfy</t>
  </si>
  <si>
    <t>task_id_579.dfy</t>
  </si>
  <si>
    <t>task_id_587.dfy</t>
  </si>
  <si>
    <t>task_id_594.dfy</t>
  </si>
  <si>
    <t>task_id_599.dfy</t>
  </si>
  <si>
    <t>task_id_602.dfy</t>
  </si>
  <si>
    <t>task_id_605.dfy</t>
  </si>
  <si>
    <t>task_id_610.dfy</t>
  </si>
  <si>
    <t>task_id_616.dfy</t>
  </si>
  <si>
    <t>task_id_62.dfy</t>
  </si>
  <si>
    <t>task_id_623.dfy</t>
  </si>
  <si>
    <t>task_id_624.dfy</t>
  </si>
  <si>
    <t>task_id_627.dfy</t>
  </si>
  <si>
    <t>task_id_629.dfy</t>
  </si>
  <si>
    <t>task_id_632.dfy</t>
  </si>
  <si>
    <t>task_id_644.dfy</t>
  </si>
  <si>
    <t>task_id_69.dfy</t>
  </si>
  <si>
    <t>task_id_70.dfy</t>
  </si>
  <si>
    <t>task_id_728.dfy</t>
  </si>
  <si>
    <t>task_id_732.dfy</t>
  </si>
  <si>
    <t>task_id_733.dfy</t>
  </si>
  <si>
    <t>task_id_741.dfy</t>
  </si>
  <si>
    <t>task_id_743.dfy</t>
  </si>
  <si>
    <t>task_id_751.dfy</t>
  </si>
  <si>
    <t>task_id_755.dfy</t>
  </si>
  <si>
    <t>task_id_760.dfy</t>
  </si>
  <si>
    <t>task_id_769.dfy</t>
  </si>
  <si>
    <t>task_id_770.dfy</t>
  </si>
  <si>
    <t>task_id_775.dfy</t>
  </si>
  <si>
    <t>task_id_784.dfy</t>
  </si>
  <si>
    <t>task_id_790.dfy</t>
  </si>
  <si>
    <t>task_id_793.dfy</t>
  </si>
  <si>
    <t>task_id_798.dfy</t>
  </si>
  <si>
    <t>task_id_8.dfy</t>
  </si>
  <si>
    <t>task_id_803.dfy</t>
  </si>
  <si>
    <t>task_id_804.dfy</t>
  </si>
  <si>
    <t>task_id_807.dfy</t>
  </si>
  <si>
    <t>task_id_808.dfy</t>
  </si>
  <si>
    <t>task_id_809.dfy</t>
  </si>
  <si>
    <t>task_id_95.dfy</t>
  </si>
  <si>
    <t>Model</t>
  </si>
  <si>
    <t>Claude</t>
  </si>
  <si>
    <t>GPT</t>
  </si>
  <si>
    <t>File</t>
  </si>
  <si>
    <t>Comparison with manual</t>
  </si>
  <si>
    <t>same wording</t>
  </si>
  <si>
    <t>same syntax</t>
  </si>
  <si>
    <t>same semantics</t>
  </si>
  <si>
    <t>less complex</t>
  </si>
  <si>
    <t>more complex</t>
  </si>
  <si>
    <t>overly strong postcondition</t>
  </si>
  <si>
    <t>overly weak precondition</t>
  </si>
  <si>
    <t>more literal</t>
  </si>
  <si>
    <t>FastModularExponentiation</t>
  </si>
  <si>
    <t>PrimeFactors</t>
  </si>
  <si>
    <t>BinarySearch_1_llm.dfy</t>
  </si>
  <si>
    <t>BubbleSort_3_llm.dfy</t>
  </si>
  <si>
    <t>Catalan_1_llm.dfy</t>
  </si>
  <si>
    <t>CombNK_1_llm.dfy</t>
  </si>
  <si>
    <t>CountDistinct_2_llm.dfy</t>
  </si>
  <si>
    <t>Div_1_llm.dfy</t>
  </si>
  <si>
    <t>Factorial_1_llm.dfy</t>
  </si>
  <si>
    <t>FastExponentiation_1_llm.dfy</t>
  </si>
  <si>
    <t>Fibonacci_1_llm.dfy</t>
  </si>
  <si>
    <t>FindMax_1_llm.dfy</t>
  </si>
  <si>
    <t>InsertionSort_3_llm.dfy</t>
  </si>
  <si>
    <t>IntersectIntervals_3_llm.dfy</t>
  </si>
  <si>
    <t>LinearSearch_2_llm.dfy</t>
  </si>
  <si>
    <t>LongestPrefix_2_llm.dfy</t>
  </si>
  <si>
    <t>MakeBuckets_5_llm.dfy</t>
  </si>
  <si>
    <t>MaxDistEqual_4_llm.dfy</t>
  </si>
  <si>
    <t>Merge_4_llm.dfy</t>
  </si>
  <si>
    <t>Mode_3_llm.dfy</t>
  </si>
  <si>
    <t>PartitionOddEven_2_llm.dfy</t>
  </si>
  <si>
    <t>Recaman_3_llm.dfy</t>
  </si>
  <si>
    <t>RotateLeft_1_llm.dfy</t>
  </si>
  <si>
    <t>SelectionSort_3_llm.dfy</t>
  </si>
  <si>
    <t>task_id_105_2_llm.dfy</t>
  </si>
  <si>
    <t>task_id_106_1_llm.dfy</t>
  </si>
  <si>
    <t>task_id_113_2_llm.dfy</t>
  </si>
  <si>
    <t>task_id_126_3_llm.dfy</t>
  </si>
  <si>
    <t>task_id_133_1_llm.dfy</t>
  </si>
  <si>
    <t>task_id_145_3_llm.dfy</t>
  </si>
  <si>
    <t>task_id_161_3_llm.dfy</t>
  </si>
  <si>
    <t>task_id_170_1_llm.dfy</t>
  </si>
  <si>
    <t>task_id_18_4_llm.dfy</t>
  </si>
  <si>
    <t>task_id_2_1_llm.dfy</t>
  </si>
  <si>
    <t>task_id_230_1_llm.dfy</t>
  </si>
  <si>
    <t>task_id_249_3_llm.dfy</t>
  </si>
  <si>
    <t>task_id_251_1_llm.dfy</t>
  </si>
  <si>
    <t>task_id_261_1_llm.dfy</t>
  </si>
  <si>
    <t>task_id_267_1_llm.dfy</t>
  </si>
  <si>
    <t>task_id_273_1_llm.dfy</t>
  </si>
  <si>
    <t>task_id_282_1_llm.dfy</t>
  </si>
  <si>
    <t>task_id_284_1_llm.dfy</t>
  </si>
  <si>
    <t>task_id_290_2_llm.dfy</t>
  </si>
  <si>
    <t>task_id_3_2_llm.dfy</t>
  </si>
  <si>
    <t>task_id_310_1_llm.dfy</t>
  </si>
  <si>
    <t>task_id_399_1_llm.dfy</t>
  </si>
  <si>
    <t>task_id_401_6_llm.dfy</t>
  </si>
  <si>
    <t>task_id_414_2_llm.dfy</t>
  </si>
  <si>
    <t>task_id_424_1_llm.dfy</t>
  </si>
  <si>
    <t>task_id_426_2_llm.dfy</t>
  </si>
  <si>
    <t>task_id_431_1_llm.dfy</t>
  </si>
  <si>
    <t>task_id_433_3_llm.dfy</t>
  </si>
  <si>
    <t>task_id_436_1_llm.dfy</t>
  </si>
  <si>
    <t>task_id_445_1_llm.dfy</t>
  </si>
  <si>
    <t>task_id_447_1_llm.dfy</t>
  </si>
  <si>
    <t>task_id_454_1_llm.dfy</t>
  </si>
  <si>
    <t>task_id_457_1_llm.dfy</t>
  </si>
  <si>
    <t>task_id_470_1_llm.dfy</t>
  </si>
  <si>
    <t>task_id_472_1_llm.dfy</t>
  </si>
  <si>
    <t>task_id_474_1_llm.dfy</t>
  </si>
  <si>
    <t>task_id_476_2_llm.dfy</t>
  </si>
  <si>
    <t>task_id_477_1_llm.dfy</t>
  </si>
  <si>
    <t>task_id_555_1_llm.dfy</t>
  </si>
  <si>
    <t>task_id_557_1_llm.dfy</t>
  </si>
  <si>
    <t>task_id_566_1_llm.dfy</t>
  </si>
  <si>
    <t>task_id_567_2_llm.dfy</t>
  </si>
  <si>
    <t>task_id_572_4_llm.dfy</t>
  </si>
  <si>
    <t>task_id_573_3_llm.dfy</t>
  </si>
  <si>
    <t>task_id_576_3_llm.dfy</t>
  </si>
  <si>
    <t>task_id_578_2_llm.dfy</t>
  </si>
  <si>
    <t>task_id_579_2_llm.dfy</t>
  </si>
  <si>
    <t>task_id_587_1_llm.dfy</t>
  </si>
  <si>
    <t>task_id_594_2_llm.dfy</t>
  </si>
  <si>
    <t>task_id_599_1_llm.dfy</t>
  </si>
  <si>
    <t>task_id_602_2_llm.dfy</t>
  </si>
  <si>
    <t>task_id_605_2_llm.dfy</t>
  </si>
  <si>
    <t>task_id_610_1_llm.dfy</t>
  </si>
  <si>
    <t>task_id_616_1_llm.dfy</t>
  </si>
  <si>
    <t>task_id_62_2_llm.dfy</t>
  </si>
  <si>
    <t>task_id_623_1_llm.dfy</t>
  </si>
  <si>
    <t>task_id_624_1_llm.dfy</t>
  </si>
  <si>
    <t>task_id_627_2_llm.dfy</t>
  </si>
  <si>
    <t>task_id_629_2_llm.dfy</t>
  </si>
  <si>
    <t>task_id_632_6_llm.dfy</t>
  </si>
  <si>
    <t>task_id_644_1_llm.dfy</t>
  </si>
  <si>
    <t>task_id_69_1_llm.dfy</t>
  </si>
  <si>
    <t>task_id_70_2_llm.dfy</t>
  </si>
  <si>
    <t>task_id_728_1_llm.dfy</t>
  </si>
  <si>
    <t>task_id_732_1_llm.dfy</t>
  </si>
  <si>
    <t>task_id_733_2_llm.dfy</t>
  </si>
  <si>
    <t>task_id_741_2_llm.dfy</t>
  </si>
  <si>
    <t>task_id_743_1_llm.dfy</t>
  </si>
  <si>
    <t>task_id_751_2_llm.dfy</t>
  </si>
  <si>
    <t>task_id_755_2_llm.dfy</t>
  </si>
  <si>
    <t>task_id_760_4_llm.dfy</t>
  </si>
  <si>
    <t>task_id_769_2_llm.dfy</t>
  </si>
  <si>
    <t>task_id_770_1_llm.dfy</t>
  </si>
  <si>
    <t>task_id_775_2_llm.dfy</t>
  </si>
  <si>
    <t>task_id_784_2_llm.dfy</t>
  </si>
  <si>
    <t>task_id_790_1_llm.dfy</t>
  </si>
  <si>
    <t>task_id_793_5_llm.dfy</t>
  </si>
  <si>
    <t>task_id_798_2_llm.dfy</t>
  </si>
  <si>
    <t>task_id_8_1_llm.dfy</t>
  </si>
  <si>
    <t>task_id_803_6_llm.dfy</t>
  </si>
  <si>
    <t>task_id_804_1_llm.dfy</t>
  </si>
  <si>
    <t>task_id_807_3_llm.dfy</t>
  </si>
  <si>
    <t>task_id_808_1_llm.dfy</t>
  </si>
  <si>
    <t>task_id_809_2_llm.dfy</t>
  </si>
  <si>
    <t>task_id_95_2_llm.dfy</t>
  </si>
  <si>
    <t>Simplified name</t>
  </si>
  <si>
    <t>LOC manual</t>
  </si>
  <si>
    <t>LOC stripped</t>
  </si>
  <si>
    <t>FastModularExponentiation.dfy</t>
  </si>
  <si>
    <t>PrimeFactors.dfy</t>
  </si>
  <si>
    <t>BinarySearch_1_llm_simplified.dfy</t>
  </si>
  <si>
    <t>BubbleSort_3_llm_simplified.dfy</t>
  </si>
  <si>
    <t>CombNK_1_llm_simplified.dfy</t>
  </si>
  <si>
    <t>CountDistinct_2_llm_simplified.dfy</t>
  </si>
  <si>
    <t>FastExponentiation_1_llm_simplified.dfy</t>
  </si>
  <si>
    <t>InsertionSort_3_llm_simplified.dfy</t>
  </si>
  <si>
    <t>IntersectIntervals_3_llm_simplified.dfy</t>
  </si>
  <si>
    <t>LinearSearch_2_llm_simplified.dfy</t>
  </si>
  <si>
    <t>LongestPrefix_2_llm_simplified.dfy</t>
  </si>
  <si>
    <t>MakeBuckets_5_llm_simplified.dfy</t>
  </si>
  <si>
    <t>MaxDistEqual_4_llm_simplified.dfy</t>
  </si>
  <si>
    <t>Merge_4_llm_simplified.dfy</t>
  </si>
  <si>
    <t>Mode_3_llm_simplified.dfy</t>
  </si>
  <si>
    <t>PartitionOddEven_2_llm_simplified.dfy</t>
  </si>
  <si>
    <t>Recaman_3_llm_simplified.dfy</t>
  </si>
  <si>
    <t>RotateLeft_1_llm_simplified.dfy</t>
  </si>
  <si>
    <t>SelectionSort_3_llm_simplified.dfy</t>
  </si>
  <si>
    <t>task_id_105_2_llm_simplified.dfy</t>
  </si>
  <si>
    <t>task_id_113_2_llm_simplified.dfy</t>
  </si>
  <si>
    <t>task_id_126_3_llm_simplified.dfy</t>
  </si>
  <si>
    <t>task_id_133_1_llm_simplified.dfy</t>
  </si>
  <si>
    <t>task_id_145_3_llm_simplified.dfy</t>
  </si>
  <si>
    <t>task_id_161_3_llm_simplified.dfy</t>
  </si>
  <si>
    <t>task_id_18_4_llm_simplified.dfy</t>
  </si>
  <si>
    <t>task_id_249_3_llm_simplified.dfy</t>
  </si>
  <si>
    <t>task_id_267_1_llm_simplified.dfy</t>
  </si>
  <si>
    <t>task_id_282_1_llm_simplified.dfy</t>
  </si>
  <si>
    <t>task_id_290_2_llm_simplified.dfy</t>
  </si>
  <si>
    <t>task_id_2_1_llm_simplified.dfy</t>
  </si>
  <si>
    <t>task_id_310_1_llm_simplified.dfy</t>
  </si>
  <si>
    <t>task_id_3_2_llm_simplified.dfy</t>
  </si>
  <si>
    <t>task_id_401_6_llm_simplified.dfy</t>
  </si>
  <si>
    <t>task_id_414_2_llm_simplified.dfy</t>
  </si>
  <si>
    <t>task_id_426_2_llm_simplified.dfy</t>
  </si>
  <si>
    <t>task_id_433_3_llm_simplified.dfy</t>
  </si>
  <si>
    <t>task_id_436_1_llm_simplified.dfy</t>
  </si>
  <si>
    <t>task_id_470_1_llm_simplified.dfy</t>
  </si>
  <si>
    <t>task_id_472_1_llm_simplified.dfy</t>
  </si>
  <si>
    <t>task_id_476_2_llm_simplified.dfy</t>
  </si>
  <si>
    <t>task_id_567_2_llm_simplified.dfy</t>
  </si>
  <si>
    <t>task_id_572_4_llm_simplified.dfy</t>
  </si>
  <si>
    <t>task_id_573_3_llm_simplified.dfy</t>
  </si>
  <si>
    <t>task_id_576_3_llm_simplified.dfy</t>
  </si>
  <si>
    <t>task_id_578_2_llm_simplified.dfy</t>
  </si>
  <si>
    <t>task_id_579_2_llm_simplified.dfy</t>
  </si>
  <si>
    <t>task_id_594_2_llm_simplified.dfy</t>
  </si>
  <si>
    <t>task_id_602_2_llm_simplified.dfy</t>
  </si>
  <si>
    <t>task_id_605_2_llm_simplified.dfy</t>
  </si>
  <si>
    <t>task_id_610_1_llm_simplified.dfy</t>
  </si>
  <si>
    <t>task_id_616_1_llm_simplified.dfy</t>
  </si>
  <si>
    <t>task_id_627_2_llm_simplified.dfy</t>
  </si>
  <si>
    <t>task_id_629_2_llm_simplified.dfy</t>
  </si>
  <si>
    <t>task_id_62_2_llm_simplified.dfy</t>
  </si>
  <si>
    <t>task_id_632_6_llm_simplified.dfy</t>
  </si>
  <si>
    <t>task_id_70_2_llm_simplified.dfy</t>
  </si>
  <si>
    <t>task_id_733_2_llm_simplified.dfy</t>
  </si>
  <si>
    <t>task_id_741_2_llm_simplified.dfy</t>
  </si>
  <si>
    <t>task_id_743_1_llm_simplified.dfy</t>
  </si>
  <si>
    <t>task_id_751_2_llm_simplified.dfy</t>
  </si>
  <si>
    <t>task_id_755_2_llm_simplified.dfy</t>
  </si>
  <si>
    <t>task_id_760_4_llm_simplified.dfy</t>
  </si>
  <si>
    <t>task_id_769_2_llm_simplified.dfy</t>
  </si>
  <si>
    <t>task_id_775_2_llm_simplified.dfy</t>
  </si>
  <si>
    <t>task_id_784_2_llm_simplified.dfy</t>
  </si>
  <si>
    <t>task_id_793_5_llm_simplified.dfy</t>
  </si>
  <si>
    <t>task_id_798_2_llm_simplified.dfy</t>
  </si>
  <si>
    <t>task_id_803_6_llm_simplified.dfy</t>
  </si>
  <si>
    <t>task_id_807_3_llm_simplified.dfy</t>
  </si>
  <si>
    <t>task_id_809_2_llm_simplified.dfy</t>
  </si>
  <si>
    <t>task_id_8_1_llm_simplified.dfy</t>
  </si>
  <si>
    <t>task_id_95_2_llm_simplified.dfy</t>
  </si>
  <si>
    <t>LOCS Manual</t>
  </si>
  <si>
    <t>LOCS Stripped</t>
  </si>
  <si>
    <t>LOCS llm</t>
  </si>
  <si>
    <t>LOC simplified</t>
  </si>
  <si>
    <t>Total</t>
  </si>
  <si>
    <t>Extra LOC</t>
  </si>
  <si>
    <t>Diff</t>
  </si>
  <si>
    <t>Comparison minimized</t>
  </si>
  <si>
    <t>RawSort_8_llm.dfy</t>
  </si>
  <si>
    <t>RawSort_8_llm_simplified.dfy</t>
  </si>
  <si>
    <t>closer to implementation</t>
  </si>
  <si>
    <t>LOC</t>
  </si>
  <si>
    <t>Fibonacci_1_llm_simplified.dfy</t>
  </si>
  <si>
    <t>task_id_566_1_llm_simplified.dfy</t>
  </si>
  <si>
    <t>task_id_770_1_llm_simplified.dfy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</si>
</sst>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wrapText="1"/>
    </xf>
    <xf numFmtId="164" fontId="0" fillId="0" borderId="0" xfId="1" applyNumberFormat="1" applyFont="1"/>
    <xf numFmtId="0" fontId="3" fillId="0" borderId="0" xfId="0" applyFont="1"/>
    <xf numFmtId="0" fontId="2" fillId="0" borderId="0" xfId="0" applyFont="1" applyAlignment="1">
      <alignment horizontal="center"/>
    </xf>
    <xf numFmtId="164" fontId="0" fillId="0" borderId="0" xfId="1" applyNumberFormat="1" applyFont="1" applyAlignment="1">
      <alignment horizontal="center"/>
    </xf>
    <xf numFmtId="10" fontId="2" fillId="0" borderId="0" xfId="1" applyNumberFormat="1" applyFont="1" applyAlignment="1">
      <alignment horizontal="center"/>
    </xf>
    <xf numFmtId="9" fontId="0" fillId="0" borderId="0" xfId="1" applyFont="1"/>
  </cellXfs>
  <cellStyles count="2">
    <cellStyle name="Normal" xfId="0" builtinId="0"/>
    <cellStyle name="Pe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329C3-F8AE-4299-B5CE-C91C59C959E8}">
  <dimension ref="A1:G124"/>
  <sheetViews>
    <sheetView workbookViewId="0">
      <pane ySplit="1" topLeftCell="A104" activePane="bottomLeft" state="frozen"/>
      <selection pane="bottomLeft" activeCell="E121" sqref="E121"/>
    </sheetView>
  </sheetViews>
  <sheetFormatPr defaultRowHeight="14.25" x14ac:dyDescent="0.45"/>
  <cols>
    <col min="1" max="1" width="22.73046875" customWidth="1"/>
    <col min="2" max="2" width="21.1328125" customWidth="1"/>
    <col min="3" max="3" width="8.1328125" customWidth="1"/>
    <col min="4" max="4" width="20.3984375" customWidth="1"/>
    <col min="7" max="7" width="31.86328125" customWidth="1"/>
  </cols>
  <sheetData>
    <row r="1" spans="1:7" s="4" customFormat="1" x14ac:dyDescent="0.45">
      <c r="A1" s="4" t="s">
        <v>0</v>
      </c>
      <c r="B1" s="1" t="s">
        <v>114</v>
      </c>
      <c r="C1" s="1"/>
      <c r="D1" s="4" t="s">
        <v>315</v>
      </c>
      <c r="E1" s="4" t="s">
        <v>1</v>
      </c>
      <c r="F1" s="4" t="s">
        <v>110</v>
      </c>
      <c r="G1" s="4" t="s">
        <v>113</v>
      </c>
    </row>
    <row r="2" spans="1:7" x14ac:dyDescent="0.45">
      <c r="A2" t="s">
        <v>2</v>
      </c>
      <c r="B2" t="s">
        <v>117</v>
      </c>
      <c r="D2" t="s">
        <v>117</v>
      </c>
      <c r="E2">
        <v>1</v>
      </c>
      <c r="F2" t="s">
        <v>111</v>
      </c>
      <c r="G2" t="str">
        <f>LEFT(A2,LEN(A2)-4)&amp;"_"&amp;E2&amp;"_llm.dfy"</f>
        <v>BinarySearch_1_llm.dfy</v>
      </c>
    </row>
    <row r="3" spans="1:7" x14ac:dyDescent="0.45">
      <c r="A3" t="s">
        <v>3</v>
      </c>
      <c r="B3" t="s">
        <v>117</v>
      </c>
      <c r="D3" t="s">
        <v>117</v>
      </c>
      <c r="E3">
        <v>3</v>
      </c>
      <c r="F3" t="s">
        <v>111</v>
      </c>
      <c r="G3" t="str">
        <f t="shared" ref="G3:G5" si="0">LEFT(A3,LEN(A3)-4)&amp;"_"&amp;E3&amp;"_llm.dfy"</f>
        <v>BubbleSort_3_llm.dfy</v>
      </c>
    </row>
    <row r="4" spans="1:7" x14ac:dyDescent="0.45">
      <c r="A4" t="s">
        <v>4</v>
      </c>
      <c r="B4" t="s">
        <v>116</v>
      </c>
      <c r="D4" t="s">
        <v>116</v>
      </c>
      <c r="E4">
        <v>1</v>
      </c>
      <c r="F4" t="s">
        <v>111</v>
      </c>
      <c r="G4" t="str">
        <f t="shared" si="0"/>
        <v>Catalan_1_llm.dfy</v>
      </c>
    </row>
    <row r="5" spans="1:7" x14ac:dyDescent="0.45">
      <c r="A5" t="s">
        <v>5</v>
      </c>
      <c r="B5" t="s">
        <v>117</v>
      </c>
      <c r="D5" t="s">
        <v>117</v>
      </c>
      <c r="E5">
        <v>1</v>
      </c>
      <c r="F5" t="s">
        <v>112</v>
      </c>
      <c r="G5" t="str">
        <f t="shared" si="0"/>
        <v>CombNK_1_llm.dfy</v>
      </c>
    </row>
    <row r="6" spans="1:7" x14ac:dyDescent="0.45">
      <c r="A6" t="s">
        <v>6</v>
      </c>
      <c r="B6" t="s">
        <v>318</v>
      </c>
      <c r="D6" t="s">
        <v>318</v>
      </c>
      <c r="E6">
        <v>2</v>
      </c>
      <c r="F6" t="s">
        <v>111</v>
      </c>
      <c r="G6" t="str">
        <f t="shared" ref="G6:G69" si="1">LEFT(A6,LEN(A6)-4)&amp;"_"&amp;E6&amp;"_llm.dfy"</f>
        <v>CountDistinct_2_llm.dfy</v>
      </c>
    </row>
    <row r="7" spans="1:7" x14ac:dyDescent="0.45">
      <c r="A7" t="s">
        <v>7</v>
      </c>
      <c r="B7" t="s">
        <v>117</v>
      </c>
      <c r="D7" t="s">
        <v>117</v>
      </c>
      <c r="E7">
        <v>1</v>
      </c>
      <c r="F7" t="s">
        <v>111</v>
      </c>
      <c r="G7" t="str">
        <f t="shared" si="1"/>
        <v>Div_1_llm.dfy</v>
      </c>
    </row>
    <row r="8" spans="1:7" x14ac:dyDescent="0.45">
      <c r="A8" t="s">
        <v>8</v>
      </c>
      <c r="B8" t="s">
        <v>115</v>
      </c>
      <c r="D8" t="s">
        <v>115</v>
      </c>
      <c r="E8">
        <v>1</v>
      </c>
      <c r="F8" t="s">
        <v>111</v>
      </c>
      <c r="G8" t="str">
        <f t="shared" si="1"/>
        <v>Factorial_1_llm.dfy</v>
      </c>
    </row>
    <row r="9" spans="1:7" x14ac:dyDescent="0.45">
      <c r="A9" t="s">
        <v>9</v>
      </c>
      <c r="B9" t="s">
        <v>116</v>
      </c>
      <c r="D9" t="s">
        <v>116</v>
      </c>
      <c r="E9">
        <v>1</v>
      </c>
      <c r="F9" t="s">
        <v>111</v>
      </c>
      <c r="G9" t="str">
        <f t="shared" si="1"/>
        <v>FastExponentiation_1_llm.dfy</v>
      </c>
    </row>
    <row r="10" spans="1:7" x14ac:dyDescent="0.45">
      <c r="A10" t="s">
        <v>10</v>
      </c>
      <c r="B10" t="s">
        <v>117</v>
      </c>
      <c r="D10" t="s">
        <v>117</v>
      </c>
      <c r="E10">
        <v>1</v>
      </c>
      <c r="F10" t="s">
        <v>111</v>
      </c>
      <c r="G10" t="str">
        <f t="shared" si="1"/>
        <v>Fibonacci_1_llm.dfy</v>
      </c>
    </row>
    <row r="11" spans="1:7" x14ac:dyDescent="0.45">
      <c r="A11" t="s">
        <v>11</v>
      </c>
      <c r="B11" t="s">
        <v>115</v>
      </c>
      <c r="D11" t="s">
        <v>115</v>
      </c>
      <c r="E11">
        <v>1</v>
      </c>
      <c r="F11" t="s">
        <v>111</v>
      </c>
      <c r="G11" t="str">
        <f t="shared" si="1"/>
        <v>FindMax_1_llm.dfy</v>
      </c>
    </row>
    <row r="12" spans="1:7" x14ac:dyDescent="0.45">
      <c r="A12" t="s">
        <v>12</v>
      </c>
      <c r="B12" t="s">
        <v>116</v>
      </c>
      <c r="D12" t="s">
        <v>116</v>
      </c>
      <c r="E12">
        <v>3</v>
      </c>
      <c r="F12" t="s">
        <v>111</v>
      </c>
      <c r="G12" t="str">
        <f t="shared" si="1"/>
        <v>InsertionSort_3_llm.dfy</v>
      </c>
    </row>
    <row r="13" spans="1:7" x14ac:dyDescent="0.45">
      <c r="A13" t="s">
        <v>13</v>
      </c>
      <c r="B13" t="s">
        <v>121</v>
      </c>
      <c r="D13" t="s">
        <v>121</v>
      </c>
      <c r="E13">
        <v>3</v>
      </c>
      <c r="F13" t="s">
        <v>111</v>
      </c>
      <c r="G13" t="str">
        <f t="shared" si="1"/>
        <v>IntersectIntervals_3_llm.dfy</v>
      </c>
    </row>
    <row r="14" spans="1:7" x14ac:dyDescent="0.45">
      <c r="A14" t="s">
        <v>14</v>
      </c>
      <c r="B14" t="s">
        <v>120</v>
      </c>
      <c r="D14" t="s">
        <v>117</v>
      </c>
      <c r="E14">
        <v>2</v>
      </c>
      <c r="F14" t="s">
        <v>111</v>
      </c>
      <c r="G14" t="str">
        <f t="shared" si="1"/>
        <v>LinearSearch_2_llm.dfy</v>
      </c>
    </row>
    <row r="15" spans="1:7" x14ac:dyDescent="0.45">
      <c r="A15" t="s">
        <v>15</v>
      </c>
      <c r="B15" t="s">
        <v>117</v>
      </c>
      <c r="D15" t="s">
        <v>117</v>
      </c>
      <c r="E15">
        <v>2</v>
      </c>
      <c r="F15" t="s">
        <v>111</v>
      </c>
      <c r="G15" t="str">
        <f t="shared" si="1"/>
        <v>LongestPrefix_2_llm.dfy</v>
      </c>
    </row>
    <row r="16" spans="1:7" x14ac:dyDescent="0.45">
      <c r="A16" t="s">
        <v>16</v>
      </c>
      <c r="B16" t="s">
        <v>117</v>
      </c>
      <c r="D16" t="s">
        <v>117</v>
      </c>
      <c r="E16">
        <v>5</v>
      </c>
      <c r="F16" t="s">
        <v>112</v>
      </c>
      <c r="G16" t="str">
        <f t="shared" si="1"/>
        <v>MakeBuckets_5_llm.dfy</v>
      </c>
    </row>
    <row r="17" spans="1:7" x14ac:dyDescent="0.45">
      <c r="A17" t="s">
        <v>17</v>
      </c>
      <c r="B17" t="s">
        <v>121</v>
      </c>
      <c r="D17" t="s">
        <v>121</v>
      </c>
      <c r="E17">
        <v>4</v>
      </c>
      <c r="F17" t="s">
        <v>111</v>
      </c>
      <c r="G17" t="str">
        <f t="shared" si="1"/>
        <v>MaxDistEqual_4_llm.dfy</v>
      </c>
    </row>
    <row r="18" spans="1:7" x14ac:dyDescent="0.45">
      <c r="A18" t="s">
        <v>18</v>
      </c>
      <c r="B18" t="s">
        <v>119</v>
      </c>
      <c r="D18" t="s">
        <v>318</v>
      </c>
      <c r="E18">
        <v>4</v>
      </c>
      <c r="F18" t="s">
        <v>112</v>
      </c>
      <c r="G18" t="str">
        <f t="shared" si="1"/>
        <v>Merge_4_llm.dfy</v>
      </c>
    </row>
    <row r="19" spans="1:7" x14ac:dyDescent="0.45">
      <c r="A19" t="s">
        <v>19</v>
      </c>
      <c r="B19" s="6" t="s">
        <v>318</v>
      </c>
      <c r="C19" s="6"/>
      <c r="D19" s="6" t="s">
        <v>318</v>
      </c>
      <c r="E19">
        <v>3</v>
      </c>
      <c r="F19" t="s">
        <v>112</v>
      </c>
      <c r="G19" t="str">
        <f t="shared" si="1"/>
        <v>Mode_3_llm.dfy</v>
      </c>
    </row>
    <row r="20" spans="1:7" x14ac:dyDescent="0.45">
      <c r="A20" t="s">
        <v>20</v>
      </c>
      <c r="B20" t="s">
        <v>119</v>
      </c>
      <c r="D20" t="s">
        <v>117</v>
      </c>
      <c r="E20">
        <v>2</v>
      </c>
      <c r="F20" t="s">
        <v>111</v>
      </c>
      <c r="G20" t="str">
        <f t="shared" si="1"/>
        <v>PartitionOddEven_2_llm.dfy</v>
      </c>
    </row>
    <row r="21" spans="1:7" x14ac:dyDescent="0.45">
      <c r="A21" t="s">
        <v>21</v>
      </c>
      <c r="B21" t="s">
        <v>117</v>
      </c>
      <c r="D21" t="s">
        <v>117</v>
      </c>
      <c r="E21">
        <v>8</v>
      </c>
      <c r="F21" t="s">
        <v>111</v>
      </c>
      <c r="G21" t="str">
        <f t="shared" si="1"/>
        <v>RawSort_8_llm.dfy</v>
      </c>
    </row>
    <row r="22" spans="1:7" x14ac:dyDescent="0.45">
      <c r="A22" t="s">
        <v>22</v>
      </c>
      <c r="B22" t="s">
        <v>117</v>
      </c>
      <c r="D22" t="s">
        <v>117</v>
      </c>
      <c r="E22">
        <v>3</v>
      </c>
      <c r="F22" t="s">
        <v>111</v>
      </c>
      <c r="G22" t="str">
        <f t="shared" si="1"/>
        <v>Recaman_3_llm.dfy</v>
      </c>
    </row>
    <row r="23" spans="1:7" x14ac:dyDescent="0.45">
      <c r="A23" t="s">
        <v>23</v>
      </c>
      <c r="B23" t="s">
        <v>117</v>
      </c>
      <c r="D23" t="s">
        <v>117</v>
      </c>
      <c r="E23">
        <v>1</v>
      </c>
      <c r="F23" t="s">
        <v>111</v>
      </c>
      <c r="G23" t="str">
        <f t="shared" si="1"/>
        <v>RotateLeft_1_llm.dfy</v>
      </c>
    </row>
    <row r="24" spans="1:7" x14ac:dyDescent="0.45">
      <c r="A24" t="s">
        <v>24</v>
      </c>
      <c r="B24" t="s">
        <v>117</v>
      </c>
      <c r="D24" t="s">
        <v>117</v>
      </c>
      <c r="E24">
        <v>3</v>
      </c>
      <c r="F24" t="s">
        <v>111</v>
      </c>
      <c r="G24" t="str">
        <f t="shared" si="1"/>
        <v>SelectionSort_3_llm.dfy</v>
      </c>
    </row>
    <row r="25" spans="1:7" x14ac:dyDescent="0.45">
      <c r="A25" t="s">
        <v>25</v>
      </c>
      <c r="B25" t="s">
        <v>117</v>
      </c>
      <c r="D25" t="s">
        <v>117</v>
      </c>
      <c r="E25">
        <v>2</v>
      </c>
      <c r="F25" t="s">
        <v>111</v>
      </c>
      <c r="G25" t="str">
        <f t="shared" si="1"/>
        <v>task_id_105_2_llm.dfy</v>
      </c>
    </row>
    <row r="26" spans="1:7" x14ac:dyDescent="0.45">
      <c r="A26" t="s">
        <v>26</v>
      </c>
      <c r="B26" t="s">
        <v>115</v>
      </c>
      <c r="D26" t="s">
        <v>115</v>
      </c>
      <c r="E26">
        <v>1</v>
      </c>
      <c r="F26" t="s">
        <v>111</v>
      </c>
      <c r="G26" t="str">
        <f t="shared" si="1"/>
        <v>task_id_106_1_llm.dfy</v>
      </c>
    </row>
    <row r="27" spans="1:7" x14ac:dyDescent="0.45">
      <c r="A27" t="s">
        <v>27</v>
      </c>
      <c r="B27" t="s">
        <v>117</v>
      </c>
      <c r="D27" t="s">
        <v>117</v>
      </c>
      <c r="E27">
        <v>2</v>
      </c>
      <c r="F27" t="s">
        <v>111</v>
      </c>
      <c r="G27" t="str">
        <f t="shared" si="1"/>
        <v>task_id_113_2_llm.dfy</v>
      </c>
    </row>
    <row r="28" spans="1:7" x14ac:dyDescent="0.45">
      <c r="A28" t="s">
        <v>28</v>
      </c>
      <c r="B28" t="s">
        <v>117</v>
      </c>
      <c r="D28" t="s">
        <v>117</v>
      </c>
      <c r="E28">
        <v>3</v>
      </c>
      <c r="F28" t="s">
        <v>111</v>
      </c>
      <c r="G28" t="str">
        <f t="shared" si="1"/>
        <v>task_id_126_3_llm.dfy</v>
      </c>
    </row>
    <row r="29" spans="1:7" x14ac:dyDescent="0.45">
      <c r="A29" t="s">
        <v>29</v>
      </c>
      <c r="B29" t="s">
        <v>117</v>
      </c>
      <c r="D29" t="s">
        <v>117</v>
      </c>
      <c r="E29">
        <v>1</v>
      </c>
      <c r="F29" t="s">
        <v>111</v>
      </c>
      <c r="G29" t="str">
        <f t="shared" si="1"/>
        <v>task_id_133_1_llm.dfy</v>
      </c>
    </row>
    <row r="30" spans="1:7" x14ac:dyDescent="0.45">
      <c r="A30" t="s">
        <v>30</v>
      </c>
      <c r="B30" t="s">
        <v>117</v>
      </c>
      <c r="D30" t="s">
        <v>117</v>
      </c>
      <c r="E30">
        <v>3</v>
      </c>
      <c r="F30" t="s">
        <v>111</v>
      </c>
      <c r="G30" t="str">
        <f t="shared" si="1"/>
        <v>task_id_145_3_llm.dfy</v>
      </c>
    </row>
    <row r="31" spans="1:7" x14ac:dyDescent="0.45">
      <c r="A31" t="s">
        <v>31</v>
      </c>
      <c r="B31" t="s">
        <v>117</v>
      </c>
      <c r="D31" t="s">
        <v>117</v>
      </c>
      <c r="E31">
        <v>3</v>
      </c>
      <c r="F31" t="s">
        <v>112</v>
      </c>
      <c r="G31" t="str">
        <f t="shared" si="1"/>
        <v>task_id_161_3_llm.dfy</v>
      </c>
    </row>
    <row r="32" spans="1:7" x14ac:dyDescent="0.45">
      <c r="A32" t="s">
        <v>32</v>
      </c>
      <c r="B32" t="s">
        <v>117</v>
      </c>
      <c r="D32" t="s">
        <v>117</v>
      </c>
      <c r="E32">
        <v>1</v>
      </c>
      <c r="F32" t="s">
        <v>111</v>
      </c>
      <c r="G32" t="str">
        <f t="shared" si="1"/>
        <v>task_id_170_1_llm.dfy</v>
      </c>
    </row>
    <row r="33" spans="1:7" x14ac:dyDescent="0.45">
      <c r="A33" t="s">
        <v>33</v>
      </c>
      <c r="B33" t="s">
        <v>117</v>
      </c>
      <c r="D33" t="s">
        <v>117</v>
      </c>
      <c r="E33">
        <v>4</v>
      </c>
      <c r="F33" t="s">
        <v>112</v>
      </c>
      <c r="G33" t="str">
        <f t="shared" si="1"/>
        <v>task_id_18_4_llm.dfy</v>
      </c>
    </row>
    <row r="34" spans="1:7" x14ac:dyDescent="0.45">
      <c r="A34" t="s">
        <v>34</v>
      </c>
      <c r="B34" t="s">
        <v>117</v>
      </c>
      <c r="D34" t="s">
        <v>117</v>
      </c>
      <c r="E34">
        <v>1</v>
      </c>
      <c r="F34" t="s">
        <v>111</v>
      </c>
      <c r="G34" t="str">
        <f t="shared" si="1"/>
        <v>task_id_2_1_llm.dfy</v>
      </c>
    </row>
    <row r="35" spans="1:7" x14ac:dyDescent="0.45">
      <c r="A35" t="s">
        <v>35</v>
      </c>
      <c r="B35" t="s">
        <v>117</v>
      </c>
      <c r="D35" t="s">
        <v>117</v>
      </c>
      <c r="E35">
        <v>1</v>
      </c>
      <c r="F35" t="s">
        <v>111</v>
      </c>
      <c r="G35" t="str">
        <f t="shared" si="1"/>
        <v>task_id_230_1_llm.dfy</v>
      </c>
    </row>
    <row r="36" spans="1:7" x14ac:dyDescent="0.45">
      <c r="A36" t="s">
        <v>36</v>
      </c>
      <c r="B36" t="s">
        <v>120</v>
      </c>
      <c r="D36" t="s">
        <v>120</v>
      </c>
      <c r="E36">
        <v>3</v>
      </c>
      <c r="F36" t="s">
        <v>111</v>
      </c>
      <c r="G36" t="str">
        <f t="shared" si="1"/>
        <v>task_id_249_3_llm.dfy</v>
      </c>
    </row>
    <row r="37" spans="1:7" x14ac:dyDescent="0.45">
      <c r="A37" t="s">
        <v>37</v>
      </c>
      <c r="B37" t="s">
        <v>119</v>
      </c>
      <c r="D37" t="s">
        <v>119</v>
      </c>
      <c r="E37">
        <v>1</v>
      </c>
      <c r="F37" t="s">
        <v>111</v>
      </c>
      <c r="G37" t="str">
        <f t="shared" si="1"/>
        <v>task_id_251_1_llm.dfy</v>
      </c>
    </row>
    <row r="38" spans="1:7" x14ac:dyDescent="0.45">
      <c r="A38" t="s">
        <v>38</v>
      </c>
      <c r="B38" t="s">
        <v>117</v>
      </c>
      <c r="D38" t="s">
        <v>117</v>
      </c>
      <c r="E38">
        <v>1</v>
      </c>
      <c r="F38" t="s">
        <v>111</v>
      </c>
      <c r="G38" t="str">
        <f t="shared" si="1"/>
        <v>task_id_261_1_llm.dfy</v>
      </c>
    </row>
    <row r="39" spans="1:7" x14ac:dyDescent="0.45">
      <c r="A39" t="s">
        <v>39</v>
      </c>
      <c r="B39" t="s">
        <v>122</v>
      </c>
      <c r="D39" t="s">
        <v>117</v>
      </c>
      <c r="E39">
        <v>1</v>
      </c>
      <c r="F39" t="s">
        <v>111</v>
      </c>
      <c r="G39" t="str">
        <f t="shared" si="1"/>
        <v>task_id_267_1_llm.dfy</v>
      </c>
    </row>
    <row r="40" spans="1:7" x14ac:dyDescent="0.45">
      <c r="A40" t="s">
        <v>40</v>
      </c>
      <c r="B40" t="s">
        <v>116</v>
      </c>
      <c r="D40" t="s">
        <v>116</v>
      </c>
      <c r="E40">
        <v>1</v>
      </c>
      <c r="F40" t="s">
        <v>111</v>
      </c>
      <c r="G40" t="str">
        <f t="shared" si="1"/>
        <v>task_id_273_1_llm.dfy</v>
      </c>
    </row>
    <row r="41" spans="1:7" x14ac:dyDescent="0.45">
      <c r="A41" t="s">
        <v>41</v>
      </c>
      <c r="B41" t="s">
        <v>117</v>
      </c>
      <c r="D41" t="s">
        <v>117</v>
      </c>
      <c r="E41">
        <v>1</v>
      </c>
      <c r="F41" t="s">
        <v>111</v>
      </c>
      <c r="G41" t="str">
        <f t="shared" si="1"/>
        <v>task_id_282_1_llm.dfy</v>
      </c>
    </row>
    <row r="42" spans="1:7" x14ac:dyDescent="0.45">
      <c r="A42" t="s">
        <v>42</v>
      </c>
      <c r="B42" t="s">
        <v>116</v>
      </c>
      <c r="D42" t="s">
        <v>116</v>
      </c>
      <c r="E42">
        <v>1</v>
      </c>
      <c r="F42" t="s">
        <v>111</v>
      </c>
      <c r="G42" t="str">
        <f t="shared" si="1"/>
        <v>task_id_284_1_llm.dfy</v>
      </c>
    </row>
    <row r="43" spans="1:7" x14ac:dyDescent="0.45">
      <c r="A43" t="s">
        <v>43</v>
      </c>
      <c r="B43" t="s">
        <v>117</v>
      </c>
      <c r="D43" t="s">
        <v>117</v>
      </c>
      <c r="E43">
        <v>2</v>
      </c>
      <c r="F43" t="s">
        <v>111</v>
      </c>
      <c r="G43" t="str">
        <f t="shared" si="1"/>
        <v>task_id_290_2_llm.dfy</v>
      </c>
    </row>
    <row r="44" spans="1:7" x14ac:dyDescent="0.45">
      <c r="A44" t="s">
        <v>44</v>
      </c>
      <c r="B44" t="s">
        <v>117</v>
      </c>
      <c r="D44" t="s">
        <v>117</v>
      </c>
      <c r="E44">
        <v>2</v>
      </c>
      <c r="F44" t="s">
        <v>111</v>
      </c>
      <c r="G44" t="str">
        <f t="shared" si="1"/>
        <v>task_id_3_2_llm.dfy</v>
      </c>
    </row>
    <row r="45" spans="1:7" x14ac:dyDescent="0.45">
      <c r="A45" t="s">
        <v>45</v>
      </c>
      <c r="B45" t="s">
        <v>119</v>
      </c>
      <c r="D45" t="s">
        <v>115</v>
      </c>
      <c r="E45">
        <v>1</v>
      </c>
      <c r="F45" t="s">
        <v>112</v>
      </c>
      <c r="G45" t="str">
        <f t="shared" si="1"/>
        <v>task_id_310_1_llm.dfy</v>
      </c>
    </row>
    <row r="46" spans="1:7" x14ac:dyDescent="0.45">
      <c r="A46" t="s">
        <v>46</v>
      </c>
      <c r="B46" t="s">
        <v>117</v>
      </c>
      <c r="D46" t="s">
        <v>117</v>
      </c>
      <c r="E46">
        <v>1</v>
      </c>
      <c r="F46" t="s">
        <v>111</v>
      </c>
      <c r="G46" t="str">
        <f t="shared" si="1"/>
        <v>task_id_399_1_llm.dfy</v>
      </c>
    </row>
    <row r="47" spans="1:7" x14ac:dyDescent="0.45">
      <c r="A47" t="s">
        <v>47</v>
      </c>
      <c r="B47" t="s">
        <v>119</v>
      </c>
      <c r="D47" t="s">
        <v>119</v>
      </c>
      <c r="E47">
        <v>6</v>
      </c>
      <c r="F47" t="s">
        <v>111</v>
      </c>
      <c r="G47" t="str">
        <f t="shared" si="1"/>
        <v>task_id_401_6_llm.dfy</v>
      </c>
    </row>
    <row r="48" spans="1:7" x14ac:dyDescent="0.45">
      <c r="A48" t="s">
        <v>48</v>
      </c>
      <c r="B48" t="s">
        <v>117</v>
      </c>
      <c r="D48" t="s">
        <v>117</v>
      </c>
      <c r="E48">
        <v>2</v>
      </c>
      <c r="F48" t="s">
        <v>111</v>
      </c>
      <c r="G48" t="str">
        <f t="shared" si="1"/>
        <v>task_id_414_2_llm.dfy</v>
      </c>
    </row>
    <row r="49" spans="1:7" x14ac:dyDescent="0.45">
      <c r="A49" t="s">
        <v>49</v>
      </c>
      <c r="B49" t="s">
        <v>115</v>
      </c>
      <c r="D49" t="s">
        <v>115</v>
      </c>
      <c r="E49">
        <v>1</v>
      </c>
      <c r="F49" t="s">
        <v>111</v>
      </c>
      <c r="G49" t="str">
        <f t="shared" si="1"/>
        <v>task_id_424_1_llm.dfy</v>
      </c>
    </row>
    <row r="50" spans="1:7" x14ac:dyDescent="0.45">
      <c r="A50" t="s">
        <v>50</v>
      </c>
      <c r="B50" t="s">
        <v>117</v>
      </c>
      <c r="D50" t="s">
        <v>117</v>
      </c>
      <c r="E50">
        <v>2</v>
      </c>
      <c r="F50" t="s">
        <v>111</v>
      </c>
      <c r="G50" t="str">
        <f t="shared" si="1"/>
        <v>task_id_426_2_llm.dfy</v>
      </c>
    </row>
    <row r="51" spans="1:7" x14ac:dyDescent="0.45">
      <c r="A51" t="s">
        <v>51</v>
      </c>
      <c r="B51" t="s">
        <v>115</v>
      </c>
      <c r="D51" t="s">
        <v>115</v>
      </c>
      <c r="E51">
        <v>1</v>
      </c>
      <c r="F51" t="s">
        <v>111</v>
      </c>
      <c r="G51" t="str">
        <f t="shared" si="1"/>
        <v>task_id_431_1_llm.dfy</v>
      </c>
    </row>
    <row r="52" spans="1:7" x14ac:dyDescent="0.45">
      <c r="A52" t="s">
        <v>52</v>
      </c>
      <c r="B52" t="s">
        <v>115</v>
      </c>
      <c r="D52" t="s">
        <v>115</v>
      </c>
      <c r="E52">
        <v>3</v>
      </c>
      <c r="F52" t="s">
        <v>112</v>
      </c>
      <c r="G52" t="str">
        <f t="shared" si="1"/>
        <v>task_id_433_3_llm.dfy</v>
      </c>
    </row>
    <row r="53" spans="1:7" x14ac:dyDescent="0.45">
      <c r="A53" t="s">
        <v>53</v>
      </c>
      <c r="B53" t="s">
        <v>117</v>
      </c>
      <c r="D53" t="s">
        <v>117</v>
      </c>
      <c r="E53">
        <v>1</v>
      </c>
      <c r="F53" t="s">
        <v>111</v>
      </c>
      <c r="G53" t="str">
        <f t="shared" si="1"/>
        <v>task_id_436_1_llm.dfy</v>
      </c>
    </row>
    <row r="54" spans="1:7" x14ac:dyDescent="0.45">
      <c r="A54" t="s">
        <v>54</v>
      </c>
      <c r="B54" t="s">
        <v>116</v>
      </c>
      <c r="D54" t="s">
        <v>116</v>
      </c>
      <c r="E54">
        <v>1</v>
      </c>
      <c r="F54" t="s">
        <v>111</v>
      </c>
      <c r="G54" t="str">
        <f t="shared" si="1"/>
        <v>task_id_445_1_llm.dfy</v>
      </c>
    </row>
    <row r="55" spans="1:7" x14ac:dyDescent="0.45">
      <c r="A55" t="s">
        <v>55</v>
      </c>
      <c r="B55" t="s">
        <v>117</v>
      </c>
      <c r="D55" t="s">
        <v>117</v>
      </c>
      <c r="E55">
        <v>1</v>
      </c>
      <c r="F55" t="s">
        <v>112</v>
      </c>
      <c r="G55" t="str">
        <f t="shared" si="1"/>
        <v>task_id_447_1_llm.dfy</v>
      </c>
    </row>
    <row r="56" spans="1:7" x14ac:dyDescent="0.45">
      <c r="A56" t="s">
        <v>56</v>
      </c>
      <c r="B56" t="s">
        <v>117</v>
      </c>
      <c r="D56" t="s">
        <v>117</v>
      </c>
      <c r="E56">
        <v>1</v>
      </c>
      <c r="F56" t="s">
        <v>111</v>
      </c>
      <c r="G56" t="str">
        <f t="shared" si="1"/>
        <v>task_id_454_1_llm.dfy</v>
      </c>
    </row>
    <row r="57" spans="1:7" x14ac:dyDescent="0.45">
      <c r="A57" t="s">
        <v>57</v>
      </c>
      <c r="B57" t="s">
        <v>117</v>
      </c>
      <c r="D57" t="s">
        <v>117</v>
      </c>
      <c r="E57">
        <v>1</v>
      </c>
      <c r="F57" t="s">
        <v>111</v>
      </c>
      <c r="G57" t="str">
        <f t="shared" si="1"/>
        <v>task_id_457_1_llm.dfy</v>
      </c>
    </row>
    <row r="58" spans="1:7" x14ac:dyDescent="0.45">
      <c r="A58" t="s">
        <v>58</v>
      </c>
      <c r="B58" t="s">
        <v>121</v>
      </c>
      <c r="D58" t="s">
        <v>121</v>
      </c>
      <c r="E58">
        <v>1</v>
      </c>
      <c r="F58" t="s">
        <v>111</v>
      </c>
      <c r="G58" t="str">
        <f t="shared" si="1"/>
        <v>task_id_470_1_llm.dfy</v>
      </c>
    </row>
    <row r="59" spans="1:7" x14ac:dyDescent="0.45">
      <c r="A59" t="s">
        <v>59</v>
      </c>
      <c r="B59" t="s">
        <v>119</v>
      </c>
      <c r="D59" t="s">
        <v>119</v>
      </c>
      <c r="E59">
        <v>1</v>
      </c>
      <c r="F59" t="s">
        <v>111</v>
      </c>
      <c r="G59" t="str">
        <f t="shared" si="1"/>
        <v>task_id_472_1_llm.dfy</v>
      </c>
    </row>
    <row r="60" spans="1:7" x14ac:dyDescent="0.45">
      <c r="A60" t="s">
        <v>60</v>
      </c>
      <c r="B60" t="s">
        <v>117</v>
      </c>
      <c r="D60" t="s">
        <v>117</v>
      </c>
      <c r="E60">
        <v>1</v>
      </c>
      <c r="F60" t="s">
        <v>111</v>
      </c>
      <c r="G60" t="str">
        <f t="shared" si="1"/>
        <v>task_id_474_1_llm.dfy</v>
      </c>
    </row>
    <row r="61" spans="1:7" x14ac:dyDescent="0.45">
      <c r="A61" t="s">
        <v>61</v>
      </c>
      <c r="B61" t="s">
        <v>117</v>
      </c>
      <c r="D61" t="s">
        <v>117</v>
      </c>
      <c r="E61">
        <v>2</v>
      </c>
      <c r="F61" t="s">
        <v>111</v>
      </c>
      <c r="G61" t="str">
        <f t="shared" si="1"/>
        <v>task_id_476_2_llm.dfy</v>
      </c>
    </row>
    <row r="62" spans="1:7" x14ac:dyDescent="0.45">
      <c r="A62" t="s">
        <v>62</v>
      </c>
      <c r="B62" t="s">
        <v>117</v>
      </c>
      <c r="D62" t="s">
        <v>117</v>
      </c>
      <c r="E62">
        <v>1</v>
      </c>
      <c r="F62" t="s">
        <v>111</v>
      </c>
      <c r="G62" t="str">
        <f t="shared" si="1"/>
        <v>task_id_477_1_llm.dfy</v>
      </c>
    </row>
    <row r="63" spans="1:7" x14ac:dyDescent="0.45">
      <c r="A63" t="s">
        <v>63</v>
      </c>
      <c r="B63" t="s">
        <v>122</v>
      </c>
      <c r="D63" t="s">
        <v>122</v>
      </c>
      <c r="E63">
        <v>1</v>
      </c>
      <c r="F63" t="s">
        <v>111</v>
      </c>
      <c r="G63" t="str">
        <f t="shared" si="1"/>
        <v>task_id_555_1_llm.dfy</v>
      </c>
    </row>
    <row r="64" spans="1:7" x14ac:dyDescent="0.45">
      <c r="A64" t="s">
        <v>64</v>
      </c>
      <c r="B64" t="s">
        <v>117</v>
      </c>
      <c r="D64" t="s">
        <v>117</v>
      </c>
      <c r="E64">
        <v>1</v>
      </c>
      <c r="F64" t="s">
        <v>111</v>
      </c>
      <c r="G64" t="str">
        <f t="shared" si="1"/>
        <v>task_id_557_1_llm.dfy</v>
      </c>
    </row>
    <row r="65" spans="1:7" x14ac:dyDescent="0.45">
      <c r="A65" t="s">
        <v>65</v>
      </c>
      <c r="B65" t="s">
        <v>118</v>
      </c>
      <c r="D65" t="s">
        <v>118</v>
      </c>
      <c r="E65">
        <v>1</v>
      </c>
      <c r="F65" t="s">
        <v>111</v>
      </c>
      <c r="G65" t="str">
        <f t="shared" si="1"/>
        <v>task_id_566_1_llm.dfy</v>
      </c>
    </row>
    <row r="66" spans="1:7" x14ac:dyDescent="0.45">
      <c r="A66" t="s">
        <v>66</v>
      </c>
      <c r="B66" t="s">
        <v>117</v>
      </c>
      <c r="D66" t="s">
        <v>117</v>
      </c>
      <c r="E66">
        <v>2</v>
      </c>
      <c r="F66" t="s">
        <v>112</v>
      </c>
      <c r="G66" t="str">
        <f t="shared" si="1"/>
        <v>task_id_567_2_llm.dfy</v>
      </c>
    </row>
    <row r="67" spans="1:7" x14ac:dyDescent="0.45">
      <c r="A67" t="s">
        <v>67</v>
      </c>
      <c r="B67" t="s">
        <v>119</v>
      </c>
      <c r="D67" t="s">
        <v>117</v>
      </c>
      <c r="E67">
        <v>4</v>
      </c>
      <c r="F67" t="s">
        <v>111</v>
      </c>
      <c r="G67" t="str">
        <f t="shared" si="1"/>
        <v>task_id_572_4_llm.dfy</v>
      </c>
    </row>
    <row r="68" spans="1:7" x14ac:dyDescent="0.45">
      <c r="A68" t="s">
        <v>68</v>
      </c>
      <c r="B68" t="s">
        <v>117</v>
      </c>
      <c r="D68" t="s">
        <v>117</v>
      </c>
      <c r="E68">
        <v>3</v>
      </c>
      <c r="F68" t="s">
        <v>111</v>
      </c>
      <c r="G68" t="str">
        <f t="shared" si="1"/>
        <v>task_id_573_3_llm.dfy</v>
      </c>
    </row>
    <row r="69" spans="1:7" x14ac:dyDescent="0.45">
      <c r="A69" t="s">
        <v>69</v>
      </c>
      <c r="B69" t="s">
        <v>119</v>
      </c>
      <c r="D69" t="s">
        <v>119</v>
      </c>
      <c r="E69">
        <v>3</v>
      </c>
      <c r="F69" t="s">
        <v>111</v>
      </c>
      <c r="G69" t="str">
        <f t="shared" si="1"/>
        <v>task_id_576_3_llm.dfy</v>
      </c>
    </row>
    <row r="70" spans="1:7" x14ac:dyDescent="0.45">
      <c r="A70" t="s">
        <v>70</v>
      </c>
      <c r="B70" t="s">
        <v>116</v>
      </c>
      <c r="D70" t="s">
        <v>116</v>
      </c>
      <c r="E70">
        <v>2</v>
      </c>
      <c r="F70" t="s">
        <v>111</v>
      </c>
      <c r="G70" t="str">
        <f t="shared" ref="G70:G111" si="2">LEFT(A70,LEN(A70)-4)&amp;"_"&amp;E70&amp;"_llm.dfy"</f>
        <v>task_id_578_2_llm.dfy</v>
      </c>
    </row>
    <row r="71" spans="1:7" x14ac:dyDescent="0.45">
      <c r="A71" t="s">
        <v>71</v>
      </c>
      <c r="B71" t="s">
        <v>117</v>
      </c>
      <c r="D71" t="s">
        <v>117</v>
      </c>
      <c r="E71">
        <v>2</v>
      </c>
      <c r="F71" t="s">
        <v>111</v>
      </c>
      <c r="G71" t="str">
        <f t="shared" si="2"/>
        <v>task_id_579_2_llm.dfy</v>
      </c>
    </row>
    <row r="72" spans="1:7" x14ac:dyDescent="0.45">
      <c r="A72" t="s">
        <v>72</v>
      </c>
      <c r="B72" t="s">
        <v>115</v>
      </c>
      <c r="D72" t="s">
        <v>115</v>
      </c>
      <c r="E72">
        <v>1</v>
      </c>
      <c r="F72" t="s">
        <v>111</v>
      </c>
      <c r="G72" t="str">
        <f t="shared" si="2"/>
        <v>task_id_587_1_llm.dfy</v>
      </c>
    </row>
    <row r="73" spans="1:7" x14ac:dyDescent="0.45">
      <c r="A73" t="s">
        <v>73</v>
      </c>
      <c r="B73" t="s">
        <v>117</v>
      </c>
      <c r="D73" t="s">
        <v>117</v>
      </c>
      <c r="E73">
        <v>2</v>
      </c>
      <c r="F73" t="s">
        <v>111</v>
      </c>
      <c r="G73" t="str">
        <f t="shared" si="2"/>
        <v>task_id_594_2_llm.dfy</v>
      </c>
    </row>
    <row r="74" spans="1:7" x14ac:dyDescent="0.45">
      <c r="A74" t="s">
        <v>74</v>
      </c>
      <c r="B74" t="s">
        <v>117</v>
      </c>
      <c r="D74" t="s">
        <v>117</v>
      </c>
      <c r="E74">
        <v>1</v>
      </c>
      <c r="F74" t="s">
        <v>111</v>
      </c>
      <c r="G74" t="str">
        <f t="shared" si="2"/>
        <v>task_id_599_1_llm.dfy</v>
      </c>
    </row>
    <row r="75" spans="1:7" x14ac:dyDescent="0.45">
      <c r="A75" t="s">
        <v>75</v>
      </c>
      <c r="B75" t="s">
        <v>117</v>
      </c>
      <c r="D75" t="s">
        <v>117</v>
      </c>
      <c r="E75">
        <v>2</v>
      </c>
      <c r="F75" t="s">
        <v>111</v>
      </c>
      <c r="G75" t="str">
        <f t="shared" si="2"/>
        <v>task_id_602_2_llm.dfy</v>
      </c>
    </row>
    <row r="76" spans="1:7" x14ac:dyDescent="0.45">
      <c r="A76" t="s">
        <v>76</v>
      </c>
      <c r="B76" t="s">
        <v>117</v>
      </c>
      <c r="D76" t="s">
        <v>117</v>
      </c>
      <c r="E76">
        <v>2</v>
      </c>
      <c r="F76" t="s">
        <v>111</v>
      </c>
      <c r="G76" t="str">
        <f t="shared" si="2"/>
        <v>task_id_605_2_llm.dfy</v>
      </c>
    </row>
    <row r="77" spans="1:7" x14ac:dyDescent="0.45">
      <c r="A77" t="s">
        <v>77</v>
      </c>
      <c r="B77" t="s">
        <v>119</v>
      </c>
      <c r="D77" t="s">
        <v>119</v>
      </c>
      <c r="E77">
        <v>1</v>
      </c>
      <c r="F77" t="s">
        <v>111</v>
      </c>
      <c r="G77" t="str">
        <f t="shared" si="2"/>
        <v>task_id_610_1_llm.dfy</v>
      </c>
    </row>
    <row r="78" spans="1:7" x14ac:dyDescent="0.45">
      <c r="A78" t="s">
        <v>78</v>
      </c>
      <c r="B78" t="s">
        <v>115</v>
      </c>
      <c r="D78" t="s">
        <v>115</v>
      </c>
      <c r="E78">
        <v>1</v>
      </c>
      <c r="F78" t="s">
        <v>111</v>
      </c>
      <c r="G78" t="str">
        <f t="shared" si="2"/>
        <v>task_id_616_1_llm.dfy</v>
      </c>
    </row>
    <row r="79" spans="1:7" x14ac:dyDescent="0.45">
      <c r="A79" t="s">
        <v>79</v>
      </c>
      <c r="B79" t="s">
        <v>117</v>
      </c>
      <c r="D79" t="s">
        <v>117</v>
      </c>
      <c r="E79">
        <v>2</v>
      </c>
      <c r="F79" t="s">
        <v>111</v>
      </c>
      <c r="G79" t="str">
        <f t="shared" si="2"/>
        <v>task_id_62_2_llm.dfy</v>
      </c>
    </row>
    <row r="80" spans="1:7" x14ac:dyDescent="0.45">
      <c r="A80" t="s">
        <v>80</v>
      </c>
      <c r="B80" t="s">
        <v>118</v>
      </c>
      <c r="D80" t="s">
        <v>118</v>
      </c>
      <c r="E80">
        <v>1</v>
      </c>
      <c r="F80" t="s">
        <v>111</v>
      </c>
      <c r="G80" t="str">
        <f t="shared" si="2"/>
        <v>task_id_623_1_llm.dfy</v>
      </c>
    </row>
    <row r="81" spans="1:7" x14ac:dyDescent="0.45">
      <c r="A81" t="s">
        <v>81</v>
      </c>
      <c r="B81" t="s">
        <v>117</v>
      </c>
      <c r="D81" t="s">
        <v>117</v>
      </c>
      <c r="E81">
        <v>1</v>
      </c>
      <c r="F81" t="s">
        <v>111</v>
      </c>
      <c r="G81" t="str">
        <f t="shared" si="2"/>
        <v>task_id_624_1_llm.dfy</v>
      </c>
    </row>
    <row r="82" spans="1:7" x14ac:dyDescent="0.45">
      <c r="A82" t="s">
        <v>82</v>
      </c>
      <c r="B82" t="s">
        <v>117</v>
      </c>
      <c r="D82" t="s">
        <v>117</v>
      </c>
      <c r="E82">
        <v>2</v>
      </c>
      <c r="F82" t="s">
        <v>111</v>
      </c>
      <c r="G82" t="str">
        <f t="shared" si="2"/>
        <v>task_id_627_2_llm.dfy</v>
      </c>
    </row>
    <row r="83" spans="1:7" x14ac:dyDescent="0.45">
      <c r="A83" t="s">
        <v>83</v>
      </c>
      <c r="B83" t="s">
        <v>117</v>
      </c>
      <c r="D83" t="s">
        <v>117</v>
      </c>
      <c r="E83">
        <v>2</v>
      </c>
      <c r="F83" t="s">
        <v>111</v>
      </c>
      <c r="G83" t="str">
        <f t="shared" si="2"/>
        <v>task_id_629_2_llm.dfy</v>
      </c>
    </row>
    <row r="84" spans="1:7" x14ac:dyDescent="0.45">
      <c r="A84" t="s">
        <v>84</v>
      </c>
      <c r="B84" t="s">
        <v>119</v>
      </c>
      <c r="D84" t="s">
        <v>119</v>
      </c>
      <c r="E84">
        <v>6</v>
      </c>
      <c r="F84" t="s">
        <v>111</v>
      </c>
      <c r="G84" t="str">
        <f t="shared" si="2"/>
        <v>task_id_632_6_llm.dfy</v>
      </c>
    </row>
    <row r="85" spans="1:7" x14ac:dyDescent="0.45">
      <c r="A85" t="s">
        <v>85</v>
      </c>
      <c r="B85" t="s">
        <v>117</v>
      </c>
      <c r="D85" t="s">
        <v>117</v>
      </c>
      <c r="E85">
        <v>1</v>
      </c>
      <c r="F85" t="s">
        <v>112</v>
      </c>
      <c r="G85" t="str">
        <f t="shared" si="2"/>
        <v>task_id_644_1_llm.dfy</v>
      </c>
    </row>
    <row r="86" spans="1:7" x14ac:dyDescent="0.45">
      <c r="A86" t="s">
        <v>86</v>
      </c>
      <c r="B86" t="s">
        <v>117</v>
      </c>
      <c r="D86" t="s">
        <v>117</v>
      </c>
      <c r="E86">
        <v>1</v>
      </c>
      <c r="F86" t="s">
        <v>111</v>
      </c>
      <c r="G86" t="str">
        <f t="shared" si="2"/>
        <v>task_id_69_1_llm.dfy</v>
      </c>
    </row>
    <row r="87" spans="1:7" x14ac:dyDescent="0.45">
      <c r="A87" t="s">
        <v>87</v>
      </c>
      <c r="B87" t="s">
        <v>117</v>
      </c>
      <c r="D87" t="s">
        <v>117</v>
      </c>
      <c r="E87">
        <v>2</v>
      </c>
      <c r="F87" t="s">
        <v>111</v>
      </c>
      <c r="G87" t="str">
        <f t="shared" si="2"/>
        <v>task_id_70_2_llm.dfy</v>
      </c>
    </row>
    <row r="88" spans="1:7" x14ac:dyDescent="0.45">
      <c r="A88" t="s">
        <v>88</v>
      </c>
      <c r="B88" t="s">
        <v>116</v>
      </c>
      <c r="D88" t="s">
        <v>116</v>
      </c>
      <c r="E88">
        <v>1</v>
      </c>
      <c r="F88" t="s">
        <v>111</v>
      </c>
      <c r="G88" t="str">
        <f t="shared" si="2"/>
        <v>task_id_728_1_llm.dfy</v>
      </c>
    </row>
    <row r="89" spans="1:7" x14ac:dyDescent="0.45">
      <c r="A89" t="s">
        <v>89</v>
      </c>
      <c r="B89" t="s">
        <v>117</v>
      </c>
      <c r="D89" t="s">
        <v>117</v>
      </c>
      <c r="E89">
        <v>1</v>
      </c>
      <c r="F89" t="s">
        <v>111</v>
      </c>
      <c r="G89" t="str">
        <f t="shared" si="2"/>
        <v>task_id_732_1_llm.dfy</v>
      </c>
    </row>
    <row r="90" spans="1:7" x14ac:dyDescent="0.45">
      <c r="A90" t="s">
        <v>90</v>
      </c>
      <c r="B90" t="s">
        <v>117</v>
      </c>
      <c r="D90" t="s">
        <v>117</v>
      </c>
      <c r="E90">
        <v>2</v>
      </c>
      <c r="F90" t="s">
        <v>112</v>
      </c>
      <c r="G90" t="str">
        <f t="shared" si="2"/>
        <v>task_id_733_2_llm.dfy</v>
      </c>
    </row>
    <row r="91" spans="1:7" x14ac:dyDescent="0.45">
      <c r="A91" t="s">
        <v>91</v>
      </c>
      <c r="B91" t="s">
        <v>117</v>
      </c>
      <c r="D91" t="s">
        <v>117</v>
      </c>
      <c r="E91">
        <v>2</v>
      </c>
      <c r="F91" t="s">
        <v>111</v>
      </c>
      <c r="G91" t="str">
        <f t="shared" si="2"/>
        <v>task_id_741_2_llm.dfy</v>
      </c>
    </row>
    <row r="92" spans="1:7" x14ac:dyDescent="0.45">
      <c r="A92" t="s">
        <v>92</v>
      </c>
      <c r="B92" t="s">
        <v>116</v>
      </c>
      <c r="D92" t="s">
        <v>116</v>
      </c>
      <c r="E92">
        <v>1</v>
      </c>
      <c r="F92" t="s">
        <v>112</v>
      </c>
      <c r="G92" t="str">
        <f t="shared" si="2"/>
        <v>task_id_743_1_llm.dfy</v>
      </c>
    </row>
    <row r="93" spans="1:7" x14ac:dyDescent="0.45">
      <c r="A93" t="s">
        <v>93</v>
      </c>
      <c r="B93" t="s">
        <v>115</v>
      </c>
      <c r="D93" t="s">
        <v>115</v>
      </c>
      <c r="E93">
        <v>2</v>
      </c>
      <c r="F93" t="s">
        <v>111</v>
      </c>
      <c r="G93" t="str">
        <f t="shared" si="2"/>
        <v>task_id_751_2_llm.dfy</v>
      </c>
    </row>
    <row r="94" spans="1:7" x14ac:dyDescent="0.45">
      <c r="A94" t="s">
        <v>94</v>
      </c>
      <c r="B94" t="s">
        <v>117</v>
      </c>
      <c r="D94" t="s">
        <v>117</v>
      </c>
      <c r="E94">
        <v>2</v>
      </c>
      <c r="F94" t="s">
        <v>111</v>
      </c>
      <c r="G94" t="str">
        <f t="shared" si="2"/>
        <v>task_id_755_2_llm.dfy</v>
      </c>
    </row>
    <row r="95" spans="1:7" x14ac:dyDescent="0.45">
      <c r="A95" t="s">
        <v>95</v>
      </c>
      <c r="B95" t="s">
        <v>117</v>
      </c>
      <c r="D95" t="s">
        <v>117</v>
      </c>
      <c r="E95">
        <v>4</v>
      </c>
      <c r="F95" t="s">
        <v>111</v>
      </c>
      <c r="G95" t="str">
        <f t="shared" si="2"/>
        <v>task_id_760_4_llm.dfy</v>
      </c>
    </row>
    <row r="96" spans="1:7" x14ac:dyDescent="0.45">
      <c r="A96" t="s">
        <v>96</v>
      </c>
      <c r="B96" t="s">
        <v>117</v>
      </c>
      <c r="D96" t="s">
        <v>117</v>
      </c>
      <c r="E96">
        <v>2</v>
      </c>
      <c r="F96" t="s">
        <v>111</v>
      </c>
      <c r="G96" t="str">
        <f t="shared" si="2"/>
        <v>task_id_769_2_llm.dfy</v>
      </c>
    </row>
    <row r="97" spans="1:7" x14ac:dyDescent="0.45">
      <c r="A97" t="s">
        <v>97</v>
      </c>
      <c r="B97" t="s">
        <v>122</v>
      </c>
      <c r="D97" t="s">
        <v>122</v>
      </c>
      <c r="E97">
        <v>1</v>
      </c>
      <c r="F97" t="s">
        <v>111</v>
      </c>
      <c r="G97" t="str">
        <f t="shared" si="2"/>
        <v>task_id_770_1_llm.dfy</v>
      </c>
    </row>
    <row r="98" spans="1:7" x14ac:dyDescent="0.45">
      <c r="A98" t="s">
        <v>98</v>
      </c>
      <c r="B98" t="s">
        <v>117</v>
      </c>
      <c r="D98" t="s">
        <v>117</v>
      </c>
      <c r="E98">
        <v>2</v>
      </c>
      <c r="F98" t="s">
        <v>112</v>
      </c>
      <c r="G98" t="str">
        <f t="shared" si="2"/>
        <v>task_id_775_2_llm.dfy</v>
      </c>
    </row>
    <row r="99" spans="1:7" x14ac:dyDescent="0.45">
      <c r="A99" t="s">
        <v>99</v>
      </c>
      <c r="B99" t="s">
        <v>117</v>
      </c>
      <c r="D99" t="s">
        <v>117</v>
      </c>
      <c r="E99">
        <v>2</v>
      </c>
      <c r="F99" t="s">
        <v>111</v>
      </c>
      <c r="G99" t="str">
        <f t="shared" si="2"/>
        <v>task_id_784_2_llm.dfy</v>
      </c>
    </row>
    <row r="100" spans="1:7" x14ac:dyDescent="0.45">
      <c r="A100" t="s">
        <v>100</v>
      </c>
      <c r="B100" t="s">
        <v>116</v>
      </c>
      <c r="D100" t="s">
        <v>116</v>
      </c>
      <c r="E100">
        <v>1</v>
      </c>
      <c r="F100" t="s">
        <v>111</v>
      </c>
      <c r="G100" t="str">
        <f t="shared" si="2"/>
        <v>task_id_790_1_llm.dfy</v>
      </c>
    </row>
    <row r="101" spans="1:7" x14ac:dyDescent="0.45">
      <c r="A101" t="s">
        <v>101</v>
      </c>
      <c r="B101" t="s">
        <v>119</v>
      </c>
      <c r="D101" t="s">
        <v>119</v>
      </c>
      <c r="E101">
        <v>5</v>
      </c>
      <c r="F101" t="s">
        <v>111</v>
      </c>
      <c r="G101" t="str">
        <f t="shared" si="2"/>
        <v>task_id_793_5_llm.dfy</v>
      </c>
    </row>
    <row r="102" spans="1:7" x14ac:dyDescent="0.45">
      <c r="A102" t="s">
        <v>102</v>
      </c>
      <c r="B102" t="s">
        <v>117</v>
      </c>
      <c r="D102" t="s">
        <v>117</v>
      </c>
      <c r="E102">
        <v>2</v>
      </c>
      <c r="F102" t="s">
        <v>111</v>
      </c>
      <c r="G102" t="str">
        <f t="shared" si="2"/>
        <v>task_id_798_2_llm.dfy</v>
      </c>
    </row>
    <row r="103" spans="1:7" x14ac:dyDescent="0.45">
      <c r="A103" t="s">
        <v>103</v>
      </c>
      <c r="B103" t="s">
        <v>115</v>
      </c>
      <c r="D103" t="s">
        <v>115</v>
      </c>
      <c r="E103">
        <v>1</v>
      </c>
      <c r="F103" t="s">
        <v>112</v>
      </c>
      <c r="G103" t="str">
        <f t="shared" si="2"/>
        <v>task_id_8_1_llm.dfy</v>
      </c>
    </row>
    <row r="104" spans="1:7" x14ac:dyDescent="0.45">
      <c r="A104" t="s">
        <v>104</v>
      </c>
      <c r="B104" t="s">
        <v>117</v>
      </c>
      <c r="D104" t="s">
        <v>117</v>
      </c>
      <c r="E104">
        <v>6</v>
      </c>
      <c r="F104" t="s">
        <v>112</v>
      </c>
      <c r="G104" t="str">
        <f t="shared" si="2"/>
        <v>task_id_803_6_llm.dfy</v>
      </c>
    </row>
    <row r="105" spans="1:7" x14ac:dyDescent="0.45">
      <c r="A105" t="s">
        <v>105</v>
      </c>
      <c r="B105" t="s">
        <v>116</v>
      </c>
      <c r="D105" t="s">
        <v>116</v>
      </c>
      <c r="E105">
        <v>1</v>
      </c>
      <c r="F105" t="s">
        <v>111</v>
      </c>
      <c r="G105" t="str">
        <f t="shared" si="2"/>
        <v>task_id_804_1_llm.dfy</v>
      </c>
    </row>
    <row r="106" spans="1:7" x14ac:dyDescent="0.45">
      <c r="A106" t="s">
        <v>106</v>
      </c>
      <c r="B106" t="s">
        <v>119</v>
      </c>
      <c r="D106" t="s">
        <v>117</v>
      </c>
      <c r="E106">
        <v>3</v>
      </c>
      <c r="F106" t="s">
        <v>112</v>
      </c>
      <c r="G106" t="str">
        <f t="shared" si="2"/>
        <v>task_id_807_3_llm.dfy</v>
      </c>
    </row>
    <row r="107" spans="1:7" x14ac:dyDescent="0.45">
      <c r="A107" t="s">
        <v>107</v>
      </c>
      <c r="B107" t="s">
        <v>115</v>
      </c>
      <c r="D107" t="s">
        <v>115</v>
      </c>
      <c r="E107">
        <v>1</v>
      </c>
      <c r="F107" t="s">
        <v>111</v>
      </c>
      <c r="G107" t="str">
        <f t="shared" si="2"/>
        <v>task_id_808_1_llm.dfy</v>
      </c>
    </row>
    <row r="108" spans="1:7" x14ac:dyDescent="0.45">
      <c r="A108" t="s">
        <v>108</v>
      </c>
      <c r="B108" t="s">
        <v>117</v>
      </c>
      <c r="D108" t="s">
        <v>117</v>
      </c>
      <c r="E108">
        <v>2</v>
      </c>
      <c r="F108" t="s">
        <v>111</v>
      </c>
      <c r="G108" t="str">
        <f t="shared" si="2"/>
        <v>task_id_809_2_llm.dfy</v>
      </c>
    </row>
    <row r="109" spans="1:7" x14ac:dyDescent="0.45">
      <c r="A109" t="s">
        <v>109</v>
      </c>
      <c r="B109" t="s">
        <v>119</v>
      </c>
      <c r="D109" t="s">
        <v>119</v>
      </c>
      <c r="E109">
        <v>2</v>
      </c>
      <c r="F109" t="s">
        <v>111</v>
      </c>
      <c r="G109" t="str">
        <f t="shared" si="2"/>
        <v>task_id_95_2_llm.dfy</v>
      </c>
    </row>
    <row r="110" spans="1:7" x14ac:dyDescent="0.45">
      <c r="A110" t="s">
        <v>123</v>
      </c>
      <c r="B110" t="s">
        <v>117</v>
      </c>
      <c r="D110" t="s">
        <v>117</v>
      </c>
      <c r="E110">
        <v>1</v>
      </c>
      <c r="F110" t="s">
        <v>111</v>
      </c>
      <c r="G110" t="str">
        <f t="shared" si="2"/>
        <v>FastModularExponentia_1_llm.dfy</v>
      </c>
    </row>
    <row r="111" spans="1:7" x14ac:dyDescent="0.45">
      <c r="A111" t="s">
        <v>124</v>
      </c>
      <c r="B111" t="s">
        <v>117</v>
      </c>
      <c r="D111" t="s">
        <v>117</v>
      </c>
      <c r="E111">
        <v>1</v>
      </c>
      <c r="F111" t="s">
        <v>111</v>
      </c>
      <c r="G111" t="str">
        <f t="shared" si="2"/>
        <v>PrimeFac_1_llm.dfy</v>
      </c>
    </row>
    <row r="113" spans="1:5" x14ac:dyDescent="0.45">
      <c r="A113" t="s">
        <v>115</v>
      </c>
      <c r="B113" s="3">
        <f>COUNTIF(B$2:B$111,A113)</f>
        <v>11</v>
      </c>
      <c r="C113" s="8">
        <f t="shared" ref="C113:C122" si="3">B113/110</f>
        <v>0.1</v>
      </c>
      <c r="D113" s="3">
        <f t="shared" ref="D113:D121" si="4">COUNTIF(D$2:D$111,A113)</f>
        <v>12</v>
      </c>
      <c r="E113" s="8">
        <f>D113/110</f>
        <v>0.10909090909090909</v>
      </c>
    </row>
    <row r="114" spans="1:5" x14ac:dyDescent="0.45">
      <c r="A114" t="s">
        <v>116</v>
      </c>
      <c r="B114" s="3">
        <f t="shared" ref="B114:B121" si="5">COUNTIF(B$2:B$111,A114)</f>
        <v>11</v>
      </c>
      <c r="C114" s="8">
        <f t="shared" si="3"/>
        <v>0.1</v>
      </c>
      <c r="D114" s="3">
        <f t="shared" si="4"/>
        <v>11</v>
      </c>
      <c r="E114" s="8">
        <f t="shared" ref="E114:E121" si="6">D114/110</f>
        <v>0.1</v>
      </c>
    </row>
    <row r="115" spans="1:5" x14ac:dyDescent="0.45">
      <c r="A115" t="s">
        <v>117</v>
      </c>
      <c r="B115" s="3">
        <f t="shared" si="5"/>
        <v>63</v>
      </c>
      <c r="C115" s="8">
        <f t="shared" si="3"/>
        <v>0.57272727272727275</v>
      </c>
      <c r="D115" s="3">
        <f t="shared" si="4"/>
        <v>68</v>
      </c>
      <c r="E115" s="8">
        <f t="shared" si="6"/>
        <v>0.61818181818181817</v>
      </c>
    </row>
    <row r="116" spans="1:5" x14ac:dyDescent="0.45">
      <c r="A116" t="s">
        <v>119</v>
      </c>
      <c r="B116" s="3">
        <f t="shared" si="5"/>
        <v>13</v>
      </c>
      <c r="C116" s="8">
        <f t="shared" si="3"/>
        <v>0.11818181818181818</v>
      </c>
      <c r="D116" s="3">
        <f t="shared" si="4"/>
        <v>8</v>
      </c>
      <c r="E116" s="8">
        <f t="shared" si="6"/>
        <v>7.2727272727272724E-2</v>
      </c>
    </row>
    <row r="117" spans="1:5" x14ac:dyDescent="0.45">
      <c r="A117" t="s">
        <v>118</v>
      </c>
      <c r="B117" s="3">
        <f t="shared" si="5"/>
        <v>2</v>
      </c>
      <c r="C117" s="8">
        <f t="shared" si="3"/>
        <v>1.8181818181818181E-2</v>
      </c>
      <c r="D117" s="3">
        <f t="shared" si="4"/>
        <v>2</v>
      </c>
      <c r="E117" s="8">
        <f t="shared" si="6"/>
        <v>1.8181818181818181E-2</v>
      </c>
    </row>
    <row r="118" spans="1:5" x14ac:dyDescent="0.45">
      <c r="A118" t="s">
        <v>122</v>
      </c>
      <c r="B118" s="3">
        <f t="shared" si="5"/>
        <v>3</v>
      </c>
      <c r="C118" s="8">
        <f t="shared" si="3"/>
        <v>2.7272727272727271E-2</v>
      </c>
      <c r="D118" s="3">
        <f t="shared" si="4"/>
        <v>2</v>
      </c>
      <c r="E118" s="8">
        <f t="shared" si="6"/>
        <v>1.8181818181818181E-2</v>
      </c>
    </row>
    <row r="119" spans="1:5" x14ac:dyDescent="0.45">
      <c r="A119" t="s">
        <v>318</v>
      </c>
      <c r="B119" s="3">
        <f t="shared" si="5"/>
        <v>2</v>
      </c>
      <c r="C119" s="8">
        <f t="shared" si="3"/>
        <v>1.8181818181818181E-2</v>
      </c>
      <c r="D119" s="3">
        <f t="shared" si="4"/>
        <v>3</v>
      </c>
      <c r="E119" s="8">
        <f t="shared" si="6"/>
        <v>2.7272727272727271E-2</v>
      </c>
    </row>
    <row r="120" spans="1:5" x14ac:dyDescent="0.45">
      <c r="A120" t="s">
        <v>121</v>
      </c>
      <c r="B120" s="3">
        <f t="shared" si="5"/>
        <v>3</v>
      </c>
      <c r="C120" s="8">
        <f t="shared" si="3"/>
        <v>2.7272727272727271E-2</v>
      </c>
      <c r="D120" s="3">
        <f t="shared" si="4"/>
        <v>3</v>
      </c>
      <c r="E120" s="8">
        <f t="shared" si="6"/>
        <v>2.7272727272727271E-2</v>
      </c>
    </row>
    <row r="121" spans="1:5" x14ac:dyDescent="0.45">
      <c r="A121" t="s">
        <v>120</v>
      </c>
      <c r="B121" s="3">
        <f t="shared" si="5"/>
        <v>2</v>
      </c>
      <c r="C121" s="8">
        <f t="shared" si="3"/>
        <v>1.8181818181818181E-2</v>
      </c>
      <c r="D121" s="3">
        <f t="shared" si="4"/>
        <v>1</v>
      </c>
      <c r="E121" s="8">
        <f t="shared" si="6"/>
        <v>9.0909090909090905E-3</v>
      </c>
    </row>
    <row r="122" spans="1:5" x14ac:dyDescent="0.45">
      <c r="A122" s="1" t="s">
        <v>312</v>
      </c>
      <c r="B122" s="7">
        <f>SUM(B113:B121)</f>
        <v>110</v>
      </c>
      <c r="C122" s="9">
        <f t="shared" si="3"/>
        <v>1</v>
      </c>
      <c r="D122" s="7">
        <f>SUM(D113:D121)</f>
        <v>110</v>
      </c>
      <c r="E122" s="9">
        <f>D122/110</f>
        <v>1</v>
      </c>
    </row>
    <row r="123" spans="1:5" x14ac:dyDescent="0.45">
      <c r="D123" s="2"/>
    </row>
    <row r="124" spans="1:5" x14ac:dyDescent="0.45">
      <c r="D124" s="2"/>
    </row>
  </sheetData>
  <autoFilter ref="A1:G111" xr:uid="{916329C3-F8AE-4299-B5CE-C91C59C959E8}"/>
  <dataValidations count="1">
    <dataValidation type="list" allowBlank="1" showInputMessage="1" showErrorMessage="1" sqref="B39:D109 B2:D37" xr:uid="{6746066A-BF41-4E13-92B2-4FF7CA1DDFC7}">
      <formula1>$A$113:$A$122</formula1>
    </dataValidation>
  </dataValidations>
  <pageMargins left="0.7" right="0.7" top="0.75" bottom="0.75" header="0.3" footer="0.3"/>
  <ignoredErrors>
    <ignoredError sqref="D113:D121 C12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88F1E-D925-46B9-ADC7-C28E799D076F}">
  <dimension ref="A1:I112"/>
  <sheetViews>
    <sheetView tabSelected="1" workbookViewId="0">
      <pane ySplit="1" topLeftCell="A92" activePane="bottomLeft" state="frozen"/>
      <selection pane="bottomLeft" activeCell="G112" sqref="G112"/>
    </sheetView>
  </sheetViews>
  <sheetFormatPr defaultRowHeight="14.25" x14ac:dyDescent="0.45"/>
  <cols>
    <col min="1" max="1" width="28.73046875" customWidth="1"/>
    <col min="2" max="2" width="26.46484375" customWidth="1"/>
    <col min="3" max="3" width="37.46484375" customWidth="1"/>
    <col min="5" max="5" width="12" customWidth="1"/>
    <col min="6" max="6" width="12.19921875" customWidth="1"/>
    <col min="10" max="10" width="2.46484375" customWidth="1"/>
  </cols>
  <sheetData>
    <row r="1" spans="1:9" s="1" customFormat="1" x14ac:dyDescent="0.45">
      <c r="A1" s="1" t="s">
        <v>0</v>
      </c>
      <c r="B1" s="1" t="s">
        <v>113</v>
      </c>
      <c r="C1" s="1" t="s">
        <v>232</v>
      </c>
      <c r="D1" s="1" t="s">
        <v>308</v>
      </c>
      <c r="E1" s="1" t="s">
        <v>309</v>
      </c>
      <c r="F1" s="1" t="s">
        <v>310</v>
      </c>
      <c r="G1" s="1" t="s">
        <v>311</v>
      </c>
      <c r="I1" s="1" t="s">
        <v>314</v>
      </c>
    </row>
    <row r="2" spans="1:9" x14ac:dyDescent="0.45">
      <c r="A2" t="s">
        <v>2</v>
      </c>
      <c r="B2" t="s">
        <v>125</v>
      </c>
      <c r="C2" t="str">
        <f>LEFT(B2,LEN(B2)-4)&amp;"_simplified.dfy"</f>
        <v>BinarySearch_1_llm_simplified.dfy</v>
      </c>
      <c r="D2">
        <f>VLOOKUP(A2,locs_manual_and_stripped!A:B,2,0)</f>
        <v>38</v>
      </c>
      <c r="E2">
        <f>VLOOKUP(A2,locs_manual_and_stripped!A:C,3,0)</f>
        <v>30</v>
      </c>
      <c r="F2">
        <f>VLOOKUP(B2,locs_llm!A:B,2,0)</f>
        <v>44</v>
      </c>
      <c r="G2">
        <f>IFERROR(VLOOKUP(C2,locs_minimized!A:B,2,0),F2)</f>
        <v>42</v>
      </c>
      <c r="I2">
        <f>G2-D2</f>
        <v>4</v>
      </c>
    </row>
    <row r="3" spans="1:9" x14ac:dyDescent="0.45">
      <c r="A3" t="s">
        <v>3</v>
      </c>
      <c r="B3" t="s">
        <v>126</v>
      </c>
      <c r="C3" t="str">
        <f t="shared" ref="C3:C66" si="0">LEFT(B3,LEN(B3)-4)&amp;"_simplified.dfy"</f>
        <v>BubbleSort_3_llm_simplified.dfy</v>
      </c>
      <c r="D3">
        <f>VLOOKUP(A3,locs_manual_and_stripped!A:B,2,0)</f>
        <v>44</v>
      </c>
      <c r="E3">
        <f>VLOOKUP(A3,locs_manual_and_stripped!A:C,3,0)</f>
        <v>26</v>
      </c>
      <c r="F3">
        <f>VLOOKUP(B3,locs_llm!A:B,2,0)</f>
        <v>93</v>
      </c>
      <c r="G3">
        <f>IFERROR(VLOOKUP(C3,locs_minimized!A:B,2,0),F3)</f>
        <v>50</v>
      </c>
      <c r="I3">
        <f t="shared" ref="I3:I66" si="1">G3-D3</f>
        <v>6</v>
      </c>
    </row>
    <row r="4" spans="1:9" x14ac:dyDescent="0.45">
      <c r="A4" t="s">
        <v>4</v>
      </c>
      <c r="B4" t="s">
        <v>127</v>
      </c>
      <c r="C4" t="str">
        <f t="shared" si="0"/>
        <v>Catalan_1_llm_simplified.dfy</v>
      </c>
      <c r="D4">
        <f>VLOOKUP(A4,locs_manual_and_stripped!A:B,2,0)</f>
        <v>28</v>
      </c>
      <c r="E4">
        <f>VLOOKUP(A4,locs_manual_and_stripped!A:C,3,0)</f>
        <v>23</v>
      </c>
      <c r="F4">
        <f>VLOOKUP(B4,locs_llm!A:B,2,0)</f>
        <v>30</v>
      </c>
      <c r="G4">
        <f>IFERROR(VLOOKUP(C4,locs_minimized!A:B,2,0),F4)</f>
        <v>30</v>
      </c>
      <c r="I4">
        <f t="shared" si="1"/>
        <v>2</v>
      </c>
    </row>
    <row r="5" spans="1:9" x14ac:dyDescent="0.45">
      <c r="A5" t="s">
        <v>5</v>
      </c>
      <c r="B5" t="s">
        <v>128</v>
      </c>
      <c r="C5" t="str">
        <f t="shared" si="0"/>
        <v>CombNK_1_llm_simplified.dfy</v>
      </c>
      <c r="D5">
        <f>VLOOKUP(A5,locs_manual_and_stripped!A:B,2,0)</f>
        <v>38</v>
      </c>
      <c r="E5">
        <f>VLOOKUP(A5,locs_manual_and_stripped!A:C,3,0)</f>
        <v>28</v>
      </c>
      <c r="F5">
        <f>VLOOKUP(B5,locs_llm!A:B,2,0)</f>
        <v>70</v>
      </c>
      <c r="G5">
        <f>IFERROR(VLOOKUP(C5,locs_minimized!A:B,2,0),F5)</f>
        <v>38</v>
      </c>
      <c r="I5">
        <f t="shared" si="1"/>
        <v>0</v>
      </c>
    </row>
    <row r="6" spans="1:9" x14ac:dyDescent="0.45">
      <c r="A6" t="s">
        <v>6</v>
      </c>
      <c r="B6" t="s">
        <v>129</v>
      </c>
      <c r="C6" t="str">
        <f t="shared" si="0"/>
        <v>CountDistinct_2_llm_simplified.dfy</v>
      </c>
      <c r="D6">
        <f>VLOOKUP(A6,locs_manual_and_stripped!A:B,2,0)</f>
        <v>41</v>
      </c>
      <c r="E6">
        <f>VLOOKUP(A6,locs_manual_and_stripped!A:C,3,0)</f>
        <v>23</v>
      </c>
      <c r="F6">
        <f>VLOOKUP(B6,locs_llm!A:B,2,0)</f>
        <v>36</v>
      </c>
      <c r="G6">
        <f>IFERROR(VLOOKUP(C6,locs_minimized!A:B,2,0),F6)</f>
        <v>32</v>
      </c>
      <c r="I6">
        <f t="shared" si="1"/>
        <v>-9</v>
      </c>
    </row>
    <row r="7" spans="1:9" x14ac:dyDescent="0.45">
      <c r="A7" t="s">
        <v>7</v>
      </c>
      <c r="B7" t="s">
        <v>130</v>
      </c>
      <c r="C7" t="str">
        <f t="shared" si="0"/>
        <v>Div_1_llm_simplified.dfy</v>
      </c>
      <c r="D7">
        <f>VLOOKUP(A7,locs_manual_and_stripped!A:B,2,0)</f>
        <v>18</v>
      </c>
      <c r="E7">
        <f>VLOOKUP(A7,locs_manual_and_stripped!A:C,3,0)</f>
        <v>15</v>
      </c>
      <c r="F7">
        <f>VLOOKUP(B7,locs_llm!A:B,2,0)</f>
        <v>19</v>
      </c>
      <c r="G7">
        <f>IFERROR(VLOOKUP(C7,locs_minimized!A:B,2,0),F7)</f>
        <v>19</v>
      </c>
      <c r="I7">
        <f t="shared" si="1"/>
        <v>1</v>
      </c>
    </row>
    <row r="8" spans="1:9" x14ac:dyDescent="0.45">
      <c r="A8" t="s">
        <v>8</v>
      </c>
      <c r="B8" t="s">
        <v>131</v>
      </c>
      <c r="C8" t="str">
        <f t="shared" si="0"/>
        <v>Factorial_1_llm_simplified.dfy</v>
      </c>
      <c r="D8">
        <f>VLOOKUP(A8,locs_manual_and_stripped!A:B,2,0)</f>
        <v>21</v>
      </c>
      <c r="E8">
        <f>VLOOKUP(A8,locs_manual_and_stripped!A:C,3,0)</f>
        <v>16</v>
      </c>
      <c r="F8">
        <f>VLOOKUP(B8,locs_llm!A:B,2,0)</f>
        <v>21</v>
      </c>
      <c r="G8">
        <f>IFERROR(VLOOKUP(C8,locs_minimized!A:B,2,0),F8)</f>
        <v>21</v>
      </c>
      <c r="I8">
        <f t="shared" si="1"/>
        <v>0</v>
      </c>
    </row>
    <row r="9" spans="1:9" x14ac:dyDescent="0.45">
      <c r="A9" t="s">
        <v>9</v>
      </c>
      <c r="B9" t="s">
        <v>132</v>
      </c>
      <c r="C9" t="str">
        <f t="shared" si="0"/>
        <v>FastExponentiation_1_llm_simplified.dfy</v>
      </c>
      <c r="D9">
        <f>VLOOKUP(A9,locs_manual_and_stripped!A:B,2,0)</f>
        <v>38</v>
      </c>
      <c r="E9">
        <f>VLOOKUP(A9,locs_manual_and_stripped!A:C,3,0)</f>
        <v>22</v>
      </c>
      <c r="F9">
        <f>VLOOKUP(B9,locs_llm!A:B,2,0)</f>
        <v>71</v>
      </c>
      <c r="G9">
        <f>IFERROR(VLOOKUP(C9,locs_minimized!A:B,2,0),F9)</f>
        <v>46</v>
      </c>
      <c r="I9">
        <f t="shared" si="1"/>
        <v>8</v>
      </c>
    </row>
    <row r="10" spans="1:9" x14ac:dyDescent="0.45">
      <c r="A10" t="s">
        <v>10</v>
      </c>
      <c r="B10" t="s">
        <v>133</v>
      </c>
      <c r="C10" t="str">
        <f t="shared" si="0"/>
        <v>Fibonacci_1_llm_simplified.dfy</v>
      </c>
      <c r="D10">
        <f>VLOOKUP(A10,locs_manual_and_stripped!A:B,2,0)</f>
        <v>25</v>
      </c>
      <c r="E10">
        <f>VLOOKUP(A10,locs_manual_and_stripped!A:C,3,0)</f>
        <v>20</v>
      </c>
      <c r="F10">
        <f>VLOOKUP(B10,locs_llm!A:B,2,0)</f>
        <v>29</v>
      </c>
      <c r="G10">
        <f>IFERROR(VLOOKUP(C10,locs_minimized!A:B,2,0),F10)</f>
        <v>29</v>
      </c>
      <c r="I10">
        <f t="shared" si="1"/>
        <v>4</v>
      </c>
    </row>
    <row r="11" spans="1:9" x14ac:dyDescent="0.45">
      <c r="A11" t="s">
        <v>11</v>
      </c>
      <c r="B11" t="s">
        <v>134</v>
      </c>
      <c r="C11" t="str">
        <f t="shared" si="0"/>
        <v>FindMax_1_llm_simplified.dfy</v>
      </c>
      <c r="D11">
        <f>VLOOKUP(A11,locs_manual_and_stripped!A:B,2,0)</f>
        <v>29</v>
      </c>
      <c r="E11">
        <f>VLOOKUP(A11,locs_manual_and_stripped!A:C,3,0)</f>
        <v>23</v>
      </c>
      <c r="F11">
        <f>VLOOKUP(B11,locs_llm!A:B,2,0)</f>
        <v>28</v>
      </c>
      <c r="G11">
        <f>IFERROR(VLOOKUP(C11,locs_minimized!A:B,2,0),F11)</f>
        <v>28</v>
      </c>
      <c r="I11">
        <f t="shared" si="1"/>
        <v>-1</v>
      </c>
    </row>
    <row r="12" spans="1:9" x14ac:dyDescent="0.45">
      <c r="A12" t="s">
        <v>12</v>
      </c>
      <c r="B12" t="s">
        <v>135</v>
      </c>
      <c r="C12" t="str">
        <f t="shared" si="0"/>
        <v>InsertionSort_3_llm_simplified.dfy</v>
      </c>
      <c r="D12">
        <f>VLOOKUP(A12,locs_manual_and_stripped!A:B,2,0)</f>
        <v>57</v>
      </c>
      <c r="E12">
        <f>VLOOKUP(A12,locs_manual_and_stripped!A:C,3,0)</f>
        <v>27</v>
      </c>
      <c r="F12">
        <f>VLOOKUP(B12,locs_llm!A:B,2,0)</f>
        <v>94</v>
      </c>
      <c r="G12">
        <f>IFERROR(VLOOKUP(C12,locs_minimized!A:B,2,0),F12)</f>
        <v>68</v>
      </c>
      <c r="I12">
        <f t="shared" si="1"/>
        <v>11</v>
      </c>
    </row>
    <row r="13" spans="1:9" x14ac:dyDescent="0.45">
      <c r="A13" t="s">
        <v>13</v>
      </c>
      <c r="B13" t="s">
        <v>136</v>
      </c>
      <c r="C13" t="str">
        <f t="shared" si="0"/>
        <v>IntersectIntervals_3_llm_simplified.dfy</v>
      </c>
      <c r="D13">
        <f>VLOOKUP(A13,locs_manual_and_stripped!A:B,2,0)</f>
        <v>40</v>
      </c>
      <c r="E13">
        <f>VLOOKUP(A13,locs_manual_and_stripped!A:C,3,0)</f>
        <v>23</v>
      </c>
      <c r="F13">
        <f>VLOOKUP(B13,locs_llm!A:B,2,0)</f>
        <v>78</v>
      </c>
      <c r="G13">
        <f>IFERROR(VLOOKUP(C13,locs_minimized!A:B,2,0),F13)</f>
        <v>52</v>
      </c>
      <c r="I13">
        <f t="shared" si="1"/>
        <v>12</v>
      </c>
    </row>
    <row r="14" spans="1:9" x14ac:dyDescent="0.45">
      <c r="A14" t="s">
        <v>14</v>
      </c>
      <c r="B14" t="s">
        <v>137</v>
      </c>
      <c r="C14" t="str">
        <f t="shared" si="0"/>
        <v>LinearSearch_2_llm_simplified.dfy</v>
      </c>
      <c r="D14">
        <f>VLOOKUP(A14,locs_manual_and_stripped!A:B,2,0)</f>
        <v>23</v>
      </c>
      <c r="E14">
        <f>VLOOKUP(A14,locs_manual_and_stripped!A:C,3,0)</f>
        <v>19</v>
      </c>
      <c r="F14">
        <f>VLOOKUP(B14,locs_llm!A:B,2,0)</f>
        <v>30</v>
      </c>
      <c r="G14">
        <f>IFERROR(VLOOKUP(C14,locs_minimized!A:B,2,0),F14)</f>
        <v>26</v>
      </c>
      <c r="I14">
        <f t="shared" si="1"/>
        <v>3</v>
      </c>
    </row>
    <row r="15" spans="1:9" x14ac:dyDescent="0.45">
      <c r="A15" t="s">
        <v>15</v>
      </c>
      <c r="B15" t="s">
        <v>138</v>
      </c>
      <c r="C15" t="str">
        <f t="shared" si="0"/>
        <v>LongestPrefix_2_llm_simplified.dfy</v>
      </c>
      <c r="D15">
        <f>VLOOKUP(A15,locs_manual_and_stripped!A:B,2,0)</f>
        <v>20</v>
      </c>
      <c r="E15">
        <f>VLOOKUP(A15,locs_manual_and_stripped!A:C,3,0)</f>
        <v>14</v>
      </c>
      <c r="F15">
        <f>VLOOKUP(B15,locs_llm!A:B,2,0)</f>
        <v>26</v>
      </c>
      <c r="G15">
        <f>IFERROR(VLOOKUP(C15,locs_minimized!A:B,2,0),F15)</f>
        <v>21</v>
      </c>
      <c r="I15">
        <f t="shared" si="1"/>
        <v>1</v>
      </c>
    </row>
    <row r="16" spans="1:9" x14ac:dyDescent="0.45">
      <c r="A16" t="s">
        <v>16</v>
      </c>
      <c r="B16" t="s">
        <v>139</v>
      </c>
      <c r="C16" t="str">
        <f t="shared" si="0"/>
        <v>MakeBuckets_5_llm_simplified.dfy</v>
      </c>
      <c r="D16">
        <f>VLOOKUP(A16,locs_manual_and_stripped!A:B,2,0)</f>
        <v>45</v>
      </c>
      <c r="E16">
        <f>VLOOKUP(A16,locs_manual_and_stripped!A:C,3,0)</f>
        <v>26</v>
      </c>
      <c r="F16">
        <f>VLOOKUP(B16,locs_llm!A:B,2,0)</f>
        <v>153</v>
      </c>
      <c r="G16">
        <f>IFERROR(VLOOKUP(C16,locs_minimized!A:B,2,0),F16)</f>
        <v>64</v>
      </c>
      <c r="I16">
        <f t="shared" si="1"/>
        <v>19</v>
      </c>
    </row>
    <row r="17" spans="1:9" x14ac:dyDescent="0.45">
      <c r="A17" t="s">
        <v>17</v>
      </c>
      <c r="B17" t="s">
        <v>140</v>
      </c>
      <c r="C17" t="str">
        <f t="shared" si="0"/>
        <v>MaxDistEqual_4_llm_simplified.dfy</v>
      </c>
      <c r="D17">
        <f>VLOOKUP(A17,locs_manual_and_stripped!A:B,2,0)</f>
        <v>39</v>
      </c>
      <c r="E17">
        <f>VLOOKUP(A17,locs_manual_and_stripped!A:C,3,0)</f>
        <v>28</v>
      </c>
      <c r="F17">
        <f>VLOOKUP(B17,locs_llm!A:B,2,0)</f>
        <v>113</v>
      </c>
      <c r="G17">
        <f>IFERROR(VLOOKUP(C17,locs_minimized!A:B,2,0),F17)</f>
        <v>62</v>
      </c>
      <c r="I17">
        <f t="shared" si="1"/>
        <v>23</v>
      </c>
    </row>
    <row r="18" spans="1:9" x14ac:dyDescent="0.45">
      <c r="A18" t="s">
        <v>18</v>
      </c>
      <c r="B18" t="s">
        <v>141</v>
      </c>
      <c r="C18" t="str">
        <f t="shared" si="0"/>
        <v>Merge_4_llm_simplified.dfy</v>
      </c>
      <c r="D18">
        <f>VLOOKUP(A18,locs_manual_and_stripped!A:B,2,0)</f>
        <v>46</v>
      </c>
      <c r="E18">
        <f>VLOOKUP(A18,locs_manual_and_stripped!A:C,3,0)</f>
        <v>26</v>
      </c>
      <c r="F18">
        <f>VLOOKUP(B18,locs_llm!A:B,2,0)</f>
        <v>260</v>
      </c>
      <c r="G18">
        <f>IFERROR(VLOOKUP(C18,locs_minimized!A:B,2,0),F18)</f>
        <v>60</v>
      </c>
      <c r="I18">
        <f t="shared" si="1"/>
        <v>14</v>
      </c>
    </row>
    <row r="19" spans="1:9" x14ac:dyDescent="0.45">
      <c r="A19" t="s">
        <v>19</v>
      </c>
      <c r="B19" t="s">
        <v>142</v>
      </c>
      <c r="C19" t="str">
        <f t="shared" si="0"/>
        <v>Mode_3_llm_simplified.dfy</v>
      </c>
      <c r="D19">
        <f>VLOOKUP(A19,locs_manual_and_stripped!A:B,2,0)</f>
        <v>46</v>
      </c>
      <c r="E19">
        <f>VLOOKUP(A19,locs_manual_and_stripped!A:C,3,0)</f>
        <v>25</v>
      </c>
      <c r="F19">
        <f>VLOOKUP(B19,locs_llm!A:B,2,0)</f>
        <v>98</v>
      </c>
      <c r="G19">
        <f>IFERROR(VLOOKUP(C19,locs_minimized!A:B,2,0),F19)</f>
        <v>56</v>
      </c>
      <c r="I19">
        <f t="shared" si="1"/>
        <v>10</v>
      </c>
    </row>
    <row r="20" spans="1:9" x14ac:dyDescent="0.45">
      <c r="A20" t="s">
        <v>20</v>
      </c>
      <c r="B20" t="s">
        <v>143</v>
      </c>
      <c r="C20" t="str">
        <f t="shared" si="0"/>
        <v>PartitionOddEven_2_llm_simplified.dfy</v>
      </c>
      <c r="D20">
        <f>VLOOKUP(A20,locs_manual_and_stripped!A:B,2,0)</f>
        <v>30</v>
      </c>
      <c r="E20">
        <f>VLOOKUP(A20,locs_manual_and_stripped!A:C,3,0)</f>
        <v>23</v>
      </c>
      <c r="F20">
        <f>VLOOKUP(B20,locs_llm!A:B,2,0)</f>
        <v>40</v>
      </c>
      <c r="G20">
        <f>IFERROR(VLOOKUP(C20,locs_minimized!A:B,2,0),F20)</f>
        <v>32</v>
      </c>
      <c r="I20">
        <f t="shared" si="1"/>
        <v>2</v>
      </c>
    </row>
    <row r="21" spans="1:9" x14ac:dyDescent="0.45">
      <c r="A21" t="s">
        <v>21</v>
      </c>
      <c r="B21" t="s">
        <v>316</v>
      </c>
      <c r="C21" t="str">
        <f t="shared" si="0"/>
        <v>RawSort_8_llm_simplified.dfy</v>
      </c>
      <c r="D21">
        <f>VLOOKUP(A21,locs_manual_and_stripped!A:B,2,0)</f>
        <v>48</v>
      </c>
      <c r="E21">
        <f>VLOOKUP(A21,locs_manual_and_stripped!A:C,3,0)</f>
        <v>17</v>
      </c>
      <c r="F21">
        <f>VLOOKUP(B21,locs_llm!A:B,2,0)</f>
        <v>232</v>
      </c>
      <c r="G21">
        <f>IFERROR(VLOOKUP(C21,locs_minimized!A:B,2,0),F21)</f>
        <v>86</v>
      </c>
      <c r="I21">
        <f t="shared" si="1"/>
        <v>38</v>
      </c>
    </row>
    <row r="22" spans="1:9" x14ac:dyDescent="0.45">
      <c r="A22" t="s">
        <v>22</v>
      </c>
      <c r="B22" t="s">
        <v>144</v>
      </c>
      <c r="C22" t="str">
        <f t="shared" si="0"/>
        <v>Recaman_3_llm_simplified.dfy</v>
      </c>
      <c r="D22">
        <f>VLOOKUP(A22,locs_manual_and_stripped!A:B,2,0)</f>
        <v>57</v>
      </c>
      <c r="E22">
        <f>VLOOKUP(A22,locs_manual_and_stripped!A:C,3,0)</f>
        <v>47</v>
      </c>
      <c r="F22">
        <f>VLOOKUP(B22,locs_llm!A:B,2,0)</f>
        <v>110</v>
      </c>
      <c r="G22">
        <f>IFERROR(VLOOKUP(C22,locs_minimized!A:B,2,0),F22)</f>
        <v>83</v>
      </c>
      <c r="I22">
        <f t="shared" si="1"/>
        <v>26</v>
      </c>
    </row>
    <row r="23" spans="1:9" x14ac:dyDescent="0.45">
      <c r="A23" t="s">
        <v>23</v>
      </c>
      <c r="B23" t="s">
        <v>145</v>
      </c>
      <c r="C23" t="str">
        <f t="shared" si="0"/>
        <v>RotateLeft_1_llm_simplified.dfy</v>
      </c>
      <c r="D23">
        <f>VLOOKUP(A23,locs_manual_and_stripped!A:B,2,0)</f>
        <v>24</v>
      </c>
      <c r="E23">
        <f>VLOOKUP(A23,locs_manual_and_stripped!A:C,3,0)</f>
        <v>19</v>
      </c>
      <c r="F23">
        <f>VLOOKUP(B23,locs_llm!A:B,2,0)</f>
        <v>25</v>
      </c>
      <c r="G23">
        <f>IFERROR(VLOOKUP(C23,locs_minimized!A:B,2,0),F23)</f>
        <v>24</v>
      </c>
      <c r="I23">
        <f t="shared" si="1"/>
        <v>0</v>
      </c>
    </row>
    <row r="24" spans="1:9" x14ac:dyDescent="0.45">
      <c r="A24" t="s">
        <v>24</v>
      </c>
      <c r="B24" t="s">
        <v>146</v>
      </c>
      <c r="C24" t="str">
        <f t="shared" si="0"/>
        <v>SelectionSort_3_llm_simplified.dfy</v>
      </c>
      <c r="D24">
        <f>VLOOKUP(A24,locs_manual_and_stripped!A:B,2,0)</f>
        <v>38</v>
      </c>
      <c r="E24">
        <f>VLOOKUP(A24,locs_manual_and_stripped!A:C,3,0)</f>
        <v>26</v>
      </c>
      <c r="F24">
        <f>VLOOKUP(B24,locs_llm!A:B,2,0)</f>
        <v>93</v>
      </c>
      <c r="G24">
        <f>IFERROR(VLOOKUP(C24,locs_minimized!A:B,2,0),F24)</f>
        <v>51</v>
      </c>
      <c r="I24">
        <f t="shared" si="1"/>
        <v>13</v>
      </c>
    </row>
    <row r="25" spans="1:9" x14ac:dyDescent="0.45">
      <c r="A25" t="s">
        <v>25</v>
      </c>
      <c r="B25" t="s">
        <v>147</v>
      </c>
      <c r="C25" t="str">
        <f t="shared" si="0"/>
        <v>task_id_105_2_llm_simplified.dfy</v>
      </c>
      <c r="D25">
        <f>VLOOKUP(A25,locs_manual_and_stripped!A:B,2,0)</f>
        <v>26</v>
      </c>
      <c r="E25">
        <f>VLOOKUP(A25,locs_manual_and_stripped!A:C,3,0)</f>
        <v>21</v>
      </c>
      <c r="F25">
        <f>VLOOKUP(B25,locs_llm!A:B,2,0)</f>
        <v>33</v>
      </c>
      <c r="G25">
        <f>IFERROR(VLOOKUP(C25,locs_minimized!A:B,2,0),F25)</f>
        <v>30</v>
      </c>
      <c r="I25">
        <f t="shared" si="1"/>
        <v>4</v>
      </c>
    </row>
    <row r="26" spans="1:9" x14ac:dyDescent="0.45">
      <c r="A26" t="s">
        <v>26</v>
      </c>
      <c r="B26" t="s">
        <v>148</v>
      </c>
      <c r="C26" t="str">
        <f t="shared" si="0"/>
        <v>task_id_106_1_llm_simplified.dfy</v>
      </c>
      <c r="D26">
        <f>VLOOKUP(A26,locs_manual_and_stripped!A:B,2,0)</f>
        <v>24</v>
      </c>
      <c r="E26">
        <f>VLOOKUP(A26,locs_manual_and_stripped!A:C,3,0)</f>
        <v>22</v>
      </c>
      <c r="F26">
        <f>VLOOKUP(B26,locs_llm!A:B,2,0)</f>
        <v>24</v>
      </c>
      <c r="G26">
        <f>IFERROR(VLOOKUP(C26,locs_minimized!A:B,2,0),F26)</f>
        <v>24</v>
      </c>
      <c r="I26">
        <f t="shared" si="1"/>
        <v>0</v>
      </c>
    </row>
    <row r="27" spans="1:9" x14ac:dyDescent="0.45">
      <c r="A27" t="s">
        <v>27</v>
      </c>
      <c r="B27" t="s">
        <v>149</v>
      </c>
      <c r="C27" t="str">
        <f t="shared" si="0"/>
        <v>task_id_113_2_llm_simplified.dfy</v>
      </c>
      <c r="D27">
        <f>VLOOKUP(A27,locs_manual_and_stripped!A:B,2,0)</f>
        <v>30</v>
      </c>
      <c r="E27">
        <f>VLOOKUP(A27,locs_manual_and_stripped!A:C,3,0)</f>
        <v>27</v>
      </c>
      <c r="F27">
        <f>VLOOKUP(B27,locs_llm!A:B,2,0)</f>
        <v>36</v>
      </c>
      <c r="G27">
        <f>IFERROR(VLOOKUP(C27,locs_minimized!A:B,2,0),F27)</f>
        <v>33</v>
      </c>
      <c r="I27">
        <f t="shared" si="1"/>
        <v>3</v>
      </c>
    </row>
    <row r="28" spans="1:9" x14ac:dyDescent="0.45">
      <c r="A28" t="s">
        <v>28</v>
      </c>
      <c r="B28" t="s">
        <v>150</v>
      </c>
      <c r="C28" t="str">
        <f t="shared" si="0"/>
        <v>task_id_126_3_llm_simplified.dfy</v>
      </c>
      <c r="D28">
        <f>VLOOKUP(A28,locs_manual_and_stripped!A:B,2,0)</f>
        <v>46</v>
      </c>
      <c r="E28">
        <f>VLOOKUP(A28,locs_manual_and_stripped!A:C,3,0)</f>
        <v>23</v>
      </c>
      <c r="F28">
        <f>VLOOKUP(B28,locs_llm!A:B,2,0)</f>
        <v>100</v>
      </c>
      <c r="G28">
        <f>IFERROR(VLOOKUP(C28,locs_minimized!A:B,2,0),F28)</f>
        <v>65</v>
      </c>
      <c r="I28">
        <f t="shared" si="1"/>
        <v>19</v>
      </c>
    </row>
    <row r="29" spans="1:9" x14ac:dyDescent="0.45">
      <c r="A29" t="s">
        <v>29</v>
      </c>
      <c r="B29" t="s">
        <v>151</v>
      </c>
      <c r="C29" t="str">
        <f t="shared" si="0"/>
        <v>task_id_133_1_llm_simplified.dfy</v>
      </c>
      <c r="D29">
        <f>VLOOKUP(A29,locs_manual_and_stripped!A:B,2,0)</f>
        <v>28</v>
      </c>
      <c r="E29">
        <f>VLOOKUP(A29,locs_manual_and_stripped!A:C,3,0)</f>
        <v>18</v>
      </c>
      <c r="F29">
        <f>VLOOKUP(B29,locs_llm!A:B,2,0)</f>
        <v>29</v>
      </c>
      <c r="G29">
        <f>IFERROR(VLOOKUP(C29,locs_minimized!A:B,2,0),F29)</f>
        <v>27</v>
      </c>
      <c r="I29">
        <f t="shared" si="1"/>
        <v>-1</v>
      </c>
    </row>
    <row r="30" spans="1:9" x14ac:dyDescent="0.45">
      <c r="A30" t="s">
        <v>30</v>
      </c>
      <c r="B30" t="s">
        <v>152</v>
      </c>
      <c r="C30" t="str">
        <f t="shared" si="0"/>
        <v>task_id_145_3_llm_simplified.dfy</v>
      </c>
      <c r="D30">
        <f>VLOOKUP(A30,locs_manual_and_stripped!A:B,2,0)</f>
        <v>37</v>
      </c>
      <c r="E30">
        <f>VLOOKUP(A30,locs_manual_and_stripped!A:C,3,0)</f>
        <v>25</v>
      </c>
      <c r="F30">
        <f>VLOOKUP(B30,locs_llm!A:B,2,0)</f>
        <v>50</v>
      </c>
      <c r="G30">
        <f>IFERROR(VLOOKUP(C30,locs_minimized!A:B,2,0),F30)</f>
        <v>35</v>
      </c>
      <c r="I30">
        <f t="shared" si="1"/>
        <v>-2</v>
      </c>
    </row>
    <row r="31" spans="1:9" x14ac:dyDescent="0.45">
      <c r="A31" t="s">
        <v>31</v>
      </c>
      <c r="B31" t="s">
        <v>153</v>
      </c>
      <c r="C31" t="str">
        <f t="shared" si="0"/>
        <v>task_id_161_3_llm_simplified.dfy</v>
      </c>
      <c r="D31">
        <f>VLOOKUP(A31,locs_manual_and_stripped!A:B,2,0)</f>
        <v>59</v>
      </c>
      <c r="E31">
        <f>VLOOKUP(A31,locs_manual_and_stripped!A:C,3,0)</f>
        <v>25</v>
      </c>
      <c r="F31">
        <f>VLOOKUP(B31,locs_llm!A:B,2,0)</f>
        <v>177</v>
      </c>
      <c r="G31">
        <f>IFERROR(VLOOKUP(C31,locs_minimized!A:B,2,0),F31)</f>
        <v>47</v>
      </c>
      <c r="I31">
        <f t="shared" si="1"/>
        <v>-12</v>
      </c>
    </row>
    <row r="32" spans="1:9" x14ac:dyDescent="0.45">
      <c r="A32" t="s">
        <v>32</v>
      </c>
      <c r="B32" t="s">
        <v>154</v>
      </c>
      <c r="C32" t="str">
        <f t="shared" si="0"/>
        <v>task_id_170_1_llm_simplified.dfy</v>
      </c>
      <c r="D32">
        <f>VLOOKUP(A32,locs_manual_and_stripped!A:B,2,0)</f>
        <v>28</v>
      </c>
      <c r="E32">
        <f>VLOOKUP(A32,locs_manual_and_stripped!A:C,3,0)</f>
        <v>21</v>
      </c>
      <c r="F32">
        <f>VLOOKUP(B32,locs_llm!A:B,2,0)</f>
        <v>29</v>
      </c>
      <c r="G32">
        <f>IFERROR(VLOOKUP(C32,locs_minimized!A:B,2,0),F32)</f>
        <v>29</v>
      </c>
      <c r="I32">
        <f t="shared" si="1"/>
        <v>1</v>
      </c>
    </row>
    <row r="33" spans="1:9" x14ac:dyDescent="0.45">
      <c r="A33" t="s">
        <v>33</v>
      </c>
      <c r="B33" t="s">
        <v>155</v>
      </c>
      <c r="C33" t="str">
        <f t="shared" si="0"/>
        <v>task_id_18_4_llm_simplified.dfy</v>
      </c>
      <c r="D33">
        <f>VLOOKUP(A33,locs_manual_and_stripped!A:B,2,0)</f>
        <v>30</v>
      </c>
      <c r="E33">
        <f>VLOOKUP(A33,locs_manual_and_stripped!A:C,3,0)</f>
        <v>16</v>
      </c>
      <c r="F33">
        <f>VLOOKUP(B33,locs_llm!A:B,2,0)</f>
        <v>198</v>
      </c>
      <c r="G33">
        <f>IFERROR(VLOOKUP(C33,locs_minimized!A:B,2,0),F33)</f>
        <v>46</v>
      </c>
      <c r="I33">
        <f t="shared" si="1"/>
        <v>16</v>
      </c>
    </row>
    <row r="34" spans="1:9" x14ac:dyDescent="0.45">
      <c r="A34" t="s">
        <v>34</v>
      </c>
      <c r="B34" t="s">
        <v>156</v>
      </c>
      <c r="C34" t="str">
        <f t="shared" si="0"/>
        <v>task_id_2_1_llm_simplified.dfy</v>
      </c>
      <c r="D34">
        <f>VLOOKUP(A34,locs_manual_and_stripped!A:B,2,0)</f>
        <v>33</v>
      </c>
      <c r="E34">
        <f>VLOOKUP(A34,locs_manual_and_stripped!A:C,3,0)</f>
        <v>24</v>
      </c>
      <c r="F34">
        <f>VLOOKUP(B34,locs_llm!A:B,2,0)</f>
        <v>32</v>
      </c>
      <c r="G34">
        <f>IFERROR(VLOOKUP(C34,locs_minimized!A:B,2,0),F34)</f>
        <v>30</v>
      </c>
      <c r="I34">
        <f t="shared" si="1"/>
        <v>-3</v>
      </c>
    </row>
    <row r="35" spans="1:9" x14ac:dyDescent="0.45">
      <c r="A35" t="s">
        <v>35</v>
      </c>
      <c r="B35" t="s">
        <v>157</v>
      </c>
      <c r="C35" t="str">
        <f t="shared" si="0"/>
        <v>task_id_230_1_llm_simplified.dfy</v>
      </c>
      <c r="D35">
        <f>VLOOKUP(A35,locs_manual_and_stripped!A:B,2,0)</f>
        <v>26</v>
      </c>
      <c r="E35">
        <f>VLOOKUP(A35,locs_manual_and_stripped!A:C,3,0)</f>
        <v>21</v>
      </c>
      <c r="F35">
        <f>VLOOKUP(B35,locs_llm!A:B,2,0)</f>
        <v>25</v>
      </c>
      <c r="G35">
        <f>IFERROR(VLOOKUP(C35,locs_minimized!A:B,2,0),F35)</f>
        <v>25</v>
      </c>
      <c r="I35">
        <f t="shared" si="1"/>
        <v>-1</v>
      </c>
    </row>
    <row r="36" spans="1:9" x14ac:dyDescent="0.45">
      <c r="A36" t="s">
        <v>36</v>
      </c>
      <c r="B36" t="s">
        <v>158</v>
      </c>
      <c r="C36" t="str">
        <f t="shared" si="0"/>
        <v>task_id_249_3_llm_simplified.dfy</v>
      </c>
      <c r="D36">
        <f>VLOOKUP(A36,locs_manual_and_stripped!A:B,2,0)</f>
        <v>37</v>
      </c>
      <c r="E36">
        <f>VLOOKUP(A36,locs_manual_and_stripped!A:C,3,0)</f>
        <v>21</v>
      </c>
      <c r="F36">
        <f>VLOOKUP(B36,locs_llm!A:B,2,0)</f>
        <v>56</v>
      </c>
      <c r="G36">
        <f>IFERROR(VLOOKUP(C36,locs_minimized!A:B,2,0),F36)</f>
        <v>33</v>
      </c>
      <c r="I36">
        <f t="shared" si="1"/>
        <v>-4</v>
      </c>
    </row>
    <row r="37" spans="1:9" x14ac:dyDescent="0.45">
      <c r="A37" t="s">
        <v>37</v>
      </c>
      <c r="B37" t="s">
        <v>159</v>
      </c>
      <c r="C37" t="str">
        <f t="shared" si="0"/>
        <v>task_id_251_1_llm_simplified.dfy</v>
      </c>
      <c r="D37">
        <f>VLOOKUP(A37,locs_manual_and_stripped!A:B,2,0)</f>
        <v>20</v>
      </c>
      <c r="E37">
        <f>VLOOKUP(A37,locs_manual_and_stripped!A:C,3,0)</f>
        <v>14</v>
      </c>
      <c r="F37">
        <f>VLOOKUP(B37,locs_llm!A:B,2,0)</f>
        <v>25</v>
      </c>
      <c r="G37">
        <f>IFERROR(VLOOKUP(C37,locs_minimized!A:B,2,0),F37)</f>
        <v>25</v>
      </c>
      <c r="I37">
        <f t="shared" si="1"/>
        <v>5</v>
      </c>
    </row>
    <row r="38" spans="1:9" x14ac:dyDescent="0.45">
      <c r="A38" t="s">
        <v>38</v>
      </c>
      <c r="B38" t="s">
        <v>160</v>
      </c>
      <c r="C38" t="str">
        <f t="shared" si="0"/>
        <v>task_id_261_1_llm_simplified.dfy</v>
      </c>
      <c r="D38">
        <f>VLOOKUP(A38,locs_manual_and_stripped!A:B,2,0)</f>
        <v>28</v>
      </c>
      <c r="E38">
        <f>VLOOKUP(A38,locs_manual_and_stripped!A:C,3,0)</f>
        <v>22</v>
      </c>
      <c r="F38">
        <f>VLOOKUP(B38,locs_llm!A:B,2,0)</f>
        <v>28</v>
      </c>
      <c r="G38">
        <f>IFERROR(VLOOKUP(C38,locs_minimized!A:B,2,0),F38)</f>
        <v>28</v>
      </c>
      <c r="I38">
        <f t="shared" si="1"/>
        <v>0</v>
      </c>
    </row>
    <row r="39" spans="1:9" x14ac:dyDescent="0.45">
      <c r="A39" t="s">
        <v>39</v>
      </c>
      <c r="B39" t="s">
        <v>161</v>
      </c>
      <c r="C39" t="str">
        <f t="shared" si="0"/>
        <v>task_id_267_1_llm_simplified.dfy</v>
      </c>
      <c r="D39">
        <f>VLOOKUP(A39,locs_manual_and_stripped!A:B,2,0)</f>
        <v>21</v>
      </c>
      <c r="E39">
        <f>VLOOKUP(A39,locs_manual_and_stripped!A:C,3,0)</f>
        <v>18</v>
      </c>
      <c r="F39">
        <f>VLOOKUP(B39,locs_llm!A:B,2,0)</f>
        <v>27</v>
      </c>
      <c r="G39">
        <f>IFERROR(VLOOKUP(C39,locs_minimized!A:B,2,0),F39)</f>
        <v>25</v>
      </c>
      <c r="I39">
        <f t="shared" si="1"/>
        <v>4</v>
      </c>
    </row>
    <row r="40" spans="1:9" x14ac:dyDescent="0.45">
      <c r="A40" t="s">
        <v>40</v>
      </c>
      <c r="B40" t="s">
        <v>162</v>
      </c>
      <c r="C40" t="str">
        <f t="shared" si="0"/>
        <v>task_id_273_1_llm_simplified.dfy</v>
      </c>
      <c r="D40">
        <f>VLOOKUP(A40,locs_manual_and_stripped!A:B,2,0)</f>
        <v>27</v>
      </c>
      <c r="E40">
        <f>VLOOKUP(A40,locs_manual_and_stripped!A:C,3,0)</f>
        <v>22</v>
      </c>
      <c r="F40">
        <f>VLOOKUP(B40,locs_llm!A:B,2,0)</f>
        <v>27</v>
      </c>
      <c r="G40">
        <f>IFERROR(VLOOKUP(C40,locs_minimized!A:B,2,0),F40)</f>
        <v>27</v>
      </c>
      <c r="I40">
        <f t="shared" si="1"/>
        <v>0</v>
      </c>
    </row>
    <row r="41" spans="1:9" x14ac:dyDescent="0.45">
      <c r="A41" t="s">
        <v>41</v>
      </c>
      <c r="B41" t="s">
        <v>163</v>
      </c>
      <c r="C41" t="str">
        <f t="shared" si="0"/>
        <v>task_id_282_1_llm_simplified.dfy</v>
      </c>
      <c r="D41">
        <f>VLOOKUP(A41,locs_manual_and_stripped!A:B,2,0)</f>
        <v>26</v>
      </c>
      <c r="E41">
        <f>VLOOKUP(A41,locs_manual_and_stripped!A:C,3,0)</f>
        <v>22</v>
      </c>
      <c r="F41">
        <f>VLOOKUP(B41,locs_llm!A:B,2,0)</f>
        <v>27</v>
      </c>
      <c r="G41">
        <f>IFERROR(VLOOKUP(C41,locs_minimized!A:B,2,0),F41)</f>
        <v>26</v>
      </c>
      <c r="I41">
        <f t="shared" si="1"/>
        <v>0</v>
      </c>
    </row>
    <row r="42" spans="1:9" x14ac:dyDescent="0.45">
      <c r="A42" t="s">
        <v>42</v>
      </c>
      <c r="B42" t="s">
        <v>164</v>
      </c>
      <c r="C42" t="str">
        <f t="shared" si="0"/>
        <v>task_id_284_1_llm_simplified.dfy</v>
      </c>
      <c r="D42">
        <f>VLOOKUP(A42,locs_manual_and_stripped!A:B,2,0)</f>
        <v>25</v>
      </c>
      <c r="E42">
        <f>VLOOKUP(A42,locs_manual_and_stripped!A:C,3,0)</f>
        <v>22</v>
      </c>
      <c r="F42">
        <f>VLOOKUP(B42,locs_llm!A:B,2,0)</f>
        <v>25</v>
      </c>
      <c r="G42">
        <f>IFERROR(VLOOKUP(C42,locs_minimized!A:B,2,0),F42)</f>
        <v>25</v>
      </c>
      <c r="I42">
        <f t="shared" si="1"/>
        <v>0</v>
      </c>
    </row>
    <row r="43" spans="1:9" x14ac:dyDescent="0.45">
      <c r="A43" t="s">
        <v>43</v>
      </c>
      <c r="B43" t="s">
        <v>165</v>
      </c>
      <c r="C43" t="str">
        <f t="shared" si="0"/>
        <v>task_id_290_2_llm_simplified.dfy</v>
      </c>
      <c r="D43">
        <f>VLOOKUP(A43,locs_manual_and_stripped!A:B,2,0)</f>
        <v>24</v>
      </c>
      <c r="E43">
        <f>VLOOKUP(A43,locs_manual_and_stripped!A:C,3,0)</f>
        <v>19</v>
      </c>
      <c r="F43">
        <f>VLOOKUP(B43,locs_llm!A:B,2,0)</f>
        <v>43</v>
      </c>
      <c r="G43">
        <f>IFERROR(VLOOKUP(C43,locs_minimized!A:B,2,0),F43)</f>
        <v>26</v>
      </c>
      <c r="I43">
        <f t="shared" si="1"/>
        <v>2</v>
      </c>
    </row>
    <row r="44" spans="1:9" x14ac:dyDescent="0.45">
      <c r="A44" t="s">
        <v>44</v>
      </c>
      <c r="B44" t="s">
        <v>166</v>
      </c>
      <c r="C44" t="str">
        <f t="shared" si="0"/>
        <v>task_id_3_2_llm_simplified.dfy</v>
      </c>
      <c r="D44">
        <f>VLOOKUP(A44,locs_manual_and_stripped!A:B,2,0)</f>
        <v>23</v>
      </c>
      <c r="E44">
        <f>VLOOKUP(A44,locs_manual_and_stripped!A:C,3,0)</f>
        <v>18</v>
      </c>
      <c r="F44">
        <f>VLOOKUP(B44,locs_llm!A:B,2,0)</f>
        <v>30</v>
      </c>
      <c r="G44">
        <f>IFERROR(VLOOKUP(C44,locs_minimized!A:B,2,0),F44)</f>
        <v>27</v>
      </c>
      <c r="I44">
        <f t="shared" si="1"/>
        <v>4</v>
      </c>
    </row>
    <row r="45" spans="1:9" x14ac:dyDescent="0.45">
      <c r="A45" t="s">
        <v>45</v>
      </c>
      <c r="B45" t="s">
        <v>167</v>
      </c>
      <c r="C45" t="str">
        <f t="shared" si="0"/>
        <v>task_id_310_1_llm_simplified.dfy</v>
      </c>
      <c r="D45">
        <f>VLOOKUP(A45,locs_manual_and_stripped!A:B,2,0)</f>
        <v>21</v>
      </c>
      <c r="E45">
        <f>VLOOKUP(A45,locs_manual_and_stripped!A:C,3,0)</f>
        <v>19</v>
      </c>
      <c r="F45">
        <f>VLOOKUP(B45,locs_llm!A:B,2,0)</f>
        <v>25</v>
      </c>
      <c r="G45">
        <f>IFERROR(VLOOKUP(C45,locs_minimized!A:B,2,0),F45)</f>
        <v>21</v>
      </c>
      <c r="I45">
        <f t="shared" si="1"/>
        <v>0</v>
      </c>
    </row>
    <row r="46" spans="1:9" x14ac:dyDescent="0.45">
      <c r="A46" t="s">
        <v>46</v>
      </c>
      <c r="B46" t="s">
        <v>168</v>
      </c>
      <c r="C46" t="str">
        <f t="shared" si="0"/>
        <v>task_id_399_1_llm_simplified.dfy</v>
      </c>
      <c r="D46">
        <f>VLOOKUP(A46,locs_manual_and_stripped!A:B,2,0)</f>
        <v>19</v>
      </c>
      <c r="E46">
        <f>VLOOKUP(A46,locs_manual_and_stripped!A:C,3,0)</f>
        <v>14</v>
      </c>
      <c r="F46">
        <f>VLOOKUP(B46,locs_llm!A:B,2,0)</f>
        <v>19</v>
      </c>
      <c r="G46">
        <f>IFERROR(VLOOKUP(C46,locs_minimized!A:B,2,0),F46)</f>
        <v>19</v>
      </c>
      <c r="I46">
        <f t="shared" si="1"/>
        <v>0</v>
      </c>
    </row>
    <row r="47" spans="1:9" x14ac:dyDescent="0.45">
      <c r="A47" t="s">
        <v>47</v>
      </c>
      <c r="B47" t="s">
        <v>169</v>
      </c>
      <c r="C47" t="str">
        <f t="shared" si="0"/>
        <v>task_id_401_6_llm_simplified.dfy</v>
      </c>
      <c r="D47">
        <f>VLOOKUP(A47,locs_manual_and_stripped!A:B,2,0)</f>
        <v>42</v>
      </c>
      <c r="E47">
        <f>VLOOKUP(A47,locs_manual_and_stripped!A:C,3,0)</f>
        <v>23</v>
      </c>
      <c r="F47">
        <f>VLOOKUP(B47,locs_llm!A:B,2,0)</f>
        <v>80</v>
      </c>
      <c r="G47">
        <f>IFERROR(VLOOKUP(C47,locs_minimized!A:B,2,0),F47)</f>
        <v>49</v>
      </c>
      <c r="I47">
        <f t="shared" si="1"/>
        <v>7</v>
      </c>
    </row>
    <row r="48" spans="1:9" x14ac:dyDescent="0.45">
      <c r="A48" t="s">
        <v>48</v>
      </c>
      <c r="B48" t="s">
        <v>170</v>
      </c>
      <c r="C48" t="str">
        <f t="shared" si="0"/>
        <v>task_id_414_2_llm_simplified.dfy</v>
      </c>
      <c r="D48">
        <f>VLOOKUP(A48,locs_manual_and_stripped!A:B,2,0)</f>
        <v>28</v>
      </c>
      <c r="E48">
        <f>VLOOKUP(A48,locs_manual_and_stripped!A:C,3,0)</f>
        <v>25</v>
      </c>
      <c r="F48">
        <f>VLOOKUP(B48,locs_llm!A:B,2,0)</f>
        <v>30</v>
      </c>
      <c r="G48">
        <f>IFERROR(VLOOKUP(C48,locs_minimized!A:B,2,0),F48)</f>
        <v>28</v>
      </c>
      <c r="I48">
        <f t="shared" si="1"/>
        <v>0</v>
      </c>
    </row>
    <row r="49" spans="1:9" x14ac:dyDescent="0.45">
      <c r="A49" t="s">
        <v>49</v>
      </c>
      <c r="B49" t="s">
        <v>171</v>
      </c>
      <c r="C49" t="str">
        <f t="shared" si="0"/>
        <v>task_id_424_1_llm_simplified.dfy</v>
      </c>
      <c r="D49">
        <f>VLOOKUP(A49,locs_manual_and_stripped!A:B,2,0)</f>
        <v>29</v>
      </c>
      <c r="E49">
        <f>VLOOKUP(A49,locs_manual_and_stripped!A:C,3,0)</f>
        <v>24</v>
      </c>
      <c r="F49">
        <f>VLOOKUP(B49,locs_llm!A:B,2,0)</f>
        <v>29</v>
      </c>
      <c r="G49">
        <f>IFERROR(VLOOKUP(C49,locs_minimized!A:B,2,0),F49)</f>
        <v>29</v>
      </c>
      <c r="I49">
        <f t="shared" si="1"/>
        <v>0</v>
      </c>
    </row>
    <row r="50" spans="1:9" x14ac:dyDescent="0.45">
      <c r="A50" t="s">
        <v>50</v>
      </c>
      <c r="B50" t="s">
        <v>172</v>
      </c>
      <c r="C50" t="str">
        <f t="shared" si="0"/>
        <v>task_id_426_2_llm_simplified.dfy</v>
      </c>
      <c r="D50">
        <f>VLOOKUP(A50,locs_manual_and_stripped!A:B,2,0)</f>
        <v>33</v>
      </c>
      <c r="E50">
        <f>VLOOKUP(A50,locs_manual_and_stripped!A:C,3,0)</f>
        <v>24</v>
      </c>
      <c r="F50">
        <f>VLOOKUP(B50,locs_llm!A:B,2,0)</f>
        <v>51</v>
      </c>
      <c r="G50">
        <f>IFERROR(VLOOKUP(C50,locs_minimized!A:B,2,0),F50)</f>
        <v>34</v>
      </c>
      <c r="I50">
        <f t="shared" si="1"/>
        <v>1</v>
      </c>
    </row>
    <row r="51" spans="1:9" x14ac:dyDescent="0.45">
      <c r="A51" t="s">
        <v>51</v>
      </c>
      <c r="B51" t="s">
        <v>173</v>
      </c>
      <c r="C51" t="str">
        <f t="shared" si="0"/>
        <v>task_id_431_1_llm_simplified.dfy</v>
      </c>
      <c r="D51">
        <f>VLOOKUP(A51,locs_manual_and_stripped!A:B,2,0)</f>
        <v>37</v>
      </c>
      <c r="E51">
        <f>VLOOKUP(A51,locs_manual_and_stripped!A:C,3,0)</f>
        <v>28</v>
      </c>
      <c r="F51">
        <f>VLOOKUP(B51,locs_llm!A:B,2,0)</f>
        <v>33</v>
      </c>
      <c r="G51">
        <f>IFERROR(VLOOKUP(C51,locs_minimized!A:B,2,0),F51)</f>
        <v>33</v>
      </c>
      <c r="I51">
        <f t="shared" si="1"/>
        <v>-4</v>
      </c>
    </row>
    <row r="52" spans="1:9" x14ac:dyDescent="0.45">
      <c r="A52" t="s">
        <v>52</v>
      </c>
      <c r="B52" t="s">
        <v>174</v>
      </c>
      <c r="C52" t="str">
        <f t="shared" si="0"/>
        <v>task_id_433_3_llm_simplified.dfy</v>
      </c>
      <c r="D52">
        <f>VLOOKUP(A52,locs_manual_and_stripped!A:B,2,0)</f>
        <v>20</v>
      </c>
      <c r="E52">
        <f>VLOOKUP(A52,locs_manual_and_stripped!A:C,3,0)</f>
        <v>17</v>
      </c>
      <c r="F52">
        <f>VLOOKUP(B52,locs_llm!A:B,2,0)</f>
        <v>51</v>
      </c>
      <c r="G52">
        <f>IFERROR(VLOOKUP(C52,locs_minimized!A:B,2,0),F52)</f>
        <v>20</v>
      </c>
      <c r="I52">
        <f t="shared" si="1"/>
        <v>0</v>
      </c>
    </row>
    <row r="53" spans="1:9" x14ac:dyDescent="0.45">
      <c r="A53" t="s">
        <v>53</v>
      </c>
      <c r="B53" t="s">
        <v>175</v>
      </c>
      <c r="C53" t="str">
        <f t="shared" si="0"/>
        <v>task_id_436_1_llm_simplified.dfy</v>
      </c>
      <c r="D53">
        <f>VLOOKUP(A53,locs_manual_and_stripped!A:B,2,0)</f>
        <v>30</v>
      </c>
      <c r="E53">
        <f>VLOOKUP(A53,locs_manual_and_stripped!A:C,3,0)</f>
        <v>21</v>
      </c>
      <c r="F53">
        <f>VLOOKUP(B53,locs_llm!A:B,2,0)</f>
        <v>34</v>
      </c>
      <c r="G53">
        <f>IFERROR(VLOOKUP(C53,locs_minimized!A:B,2,0),F53)</f>
        <v>31</v>
      </c>
      <c r="I53">
        <f t="shared" si="1"/>
        <v>1</v>
      </c>
    </row>
    <row r="54" spans="1:9" x14ac:dyDescent="0.45">
      <c r="A54" t="s">
        <v>54</v>
      </c>
      <c r="B54" t="s">
        <v>176</v>
      </c>
      <c r="C54" t="str">
        <f t="shared" si="0"/>
        <v>task_id_445_1_llm_simplified.dfy</v>
      </c>
      <c r="D54">
        <f>VLOOKUP(A54,locs_manual_and_stripped!A:B,2,0)</f>
        <v>19</v>
      </c>
      <c r="E54">
        <f>VLOOKUP(A54,locs_manual_and_stripped!A:C,3,0)</f>
        <v>14</v>
      </c>
      <c r="F54">
        <f>VLOOKUP(B54,locs_llm!A:B,2,0)</f>
        <v>19</v>
      </c>
      <c r="G54">
        <f>IFERROR(VLOOKUP(C54,locs_minimized!A:B,2,0),F54)</f>
        <v>19</v>
      </c>
      <c r="I54">
        <f t="shared" si="1"/>
        <v>0</v>
      </c>
    </row>
    <row r="55" spans="1:9" x14ac:dyDescent="0.45">
      <c r="A55" t="s">
        <v>55</v>
      </c>
      <c r="B55" t="s">
        <v>177</v>
      </c>
      <c r="C55" t="str">
        <f t="shared" si="0"/>
        <v>task_id_447_1_llm_simplified.dfy</v>
      </c>
      <c r="D55">
        <f>VLOOKUP(A55,locs_manual_and_stripped!A:B,2,0)</f>
        <v>26</v>
      </c>
      <c r="E55">
        <f>VLOOKUP(A55,locs_manual_and_stripped!A:C,3,0)</f>
        <v>19</v>
      </c>
      <c r="F55">
        <f>VLOOKUP(B55,locs_llm!A:B,2,0)</f>
        <v>22</v>
      </c>
      <c r="G55">
        <f>IFERROR(VLOOKUP(C55,locs_minimized!A:B,2,0),F55)</f>
        <v>22</v>
      </c>
      <c r="I55">
        <f t="shared" si="1"/>
        <v>-4</v>
      </c>
    </row>
    <row r="56" spans="1:9" x14ac:dyDescent="0.45">
      <c r="A56" t="s">
        <v>56</v>
      </c>
      <c r="B56" t="s">
        <v>178</v>
      </c>
      <c r="C56" t="str">
        <f t="shared" si="0"/>
        <v>task_id_454_1_llm_simplified.dfy</v>
      </c>
      <c r="D56">
        <f>VLOOKUP(A56,locs_manual_and_stripped!A:B,2,0)</f>
        <v>23</v>
      </c>
      <c r="E56">
        <f>VLOOKUP(A56,locs_manual_and_stripped!A:C,3,0)</f>
        <v>21</v>
      </c>
      <c r="F56">
        <f>VLOOKUP(B56,locs_llm!A:B,2,0)</f>
        <v>25</v>
      </c>
      <c r="G56">
        <f>IFERROR(VLOOKUP(C56,locs_minimized!A:B,2,0),F56)</f>
        <v>25</v>
      </c>
      <c r="I56">
        <f t="shared" si="1"/>
        <v>2</v>
      </c>
    </row>
    <row r="57" spans="1:9" x14ac:dyDescent="0.45">
      <c r="A57" t="s">
        <v>57</v>
      </c>
      <c r="B57" t="s">
        <v>179</v>
      </c>
      <c r="C57" t="str">
        <f t="shared" si="0"/>
        <v>task_id_457_1_llm_simplified.dfy</v>
      </c>
      <c r="D57">
        <f>VLOOKUP(A57,locs_manual_and_stripped!A:B,2,0)</f>
        <v>26</v>
      </c>
      <c r="E57">
        <f>VLOOKUP(A57,locs_manual_and_stripped!A:C,3,0)</f>
        <v>21</v>
      </c>
      <c r="F57">
        <f>VLOOKUP(B57,locs_llm!A:B,2,0)</f>
        <v>26</v>
      </c>
      <c r="G57">
        <f>IFERROR(VLOOKUP(C57,locs_minimized!A:B,2,0),F57)</f>
        <v>26</v>
      </c>
      <c r="I57">
        <f t="shared" si="1"/>
        <v>0</v>
      </c>
    </row>
    <row r="58" spans="1:9" x14ac:dyDescent="0.45">
      <c r="A58" t="s">
        <v>58</v>
      </c>
      <c r="B58" t="s">
        <v>180</v>
      </c>
      <c r="C58" t="str">
        <f t="shared" si="0"/>
        <v>task_id_470_1_llm_simplified.dfy</v>
      </c>
      <c r="D58">
        <f>VLOOKUP(A58,locs_manual_and_stripped!A:B,2,0)</f>
        <v>23</v>
      </c>
      <c r="E58">
        <f>VLOOKUP(A58,locs_manual_and_stripped!A:C,3,0)</f>
        <v>18</v>
      </c>
      <c r="F58">
        <f>VLOOKUP(B58,locs_llm!A:B,2,0)</f>
        <v>23</v>
      </c>
      <c r="G58">
        <f>IFERROR(VLOOKUP(C58,locs_minimized!A:B,2,0),F58)</f>
        <v>22</v>
      </c>
      <c r="I58">
        <f t="shared" si="1"/>
        <v>-1</v>
      </c>
    </row>
    <row r="59" spans="1:9" x14ac:dyDescent="0.45">
      <c r="A59" t="s">
        <v>59</v>
      </c>
      <c r="B59" t="s">
        <v>181</v>
      </c>
      <c r="C59" t="str">
        <f t="shared" si="0"/>
        <v>task_id_472_1_llm_simplified.dfy</v>
      </c>
      <c r="D59">
        <f>VLOOKUP(A59,locs_manual_and_stripped!A:B,2,0)</f>
        <v>34</v>
      </c>
      <c r="E59">
        <f>VLOOKUP(A59,locs_manual_and_stripped!A:C,3,0)</f>
        <v>30</v>
      </c>
      <c r="F59">
        <f>VLOOKUP(B59,locs_llm!A:B,2,0)</f>
        <v>44</v>
      </c>
      <c r="G59">
        <f>IFERROR(VLOOKUP(C59,locs_minimized!A:B,2,0),F59)</f>
        <v>35</v>
      </c>
      <c r="I59">
        <f t="shared" si="1"/>
        <v>1</v>
      </c>
    </row>
    <row r="60" spans="1:9" x14ac:dyDescent="0.45">
      <c r="A60" t="s">
        <v>60</v>
      </c>
      <c r="B60" t="s">
        <v>182</v>
      </c>
      <c r="C60" t="str">
        <f t="shared" si="0"/>
        <v>task_id_474_1_llm_simplified.dfy</v>
      </c>
      <c r="D60">
        <f>VLOOKUP(A60,locs_manual_and_stripped!A:B,2,0)</f>
        <v>26</v>
      </c>
      <c r="E60">
        <f>VLOOKUP(A60,locs_manual_and_stripped!A:C,3,0)</f>
        <v>21</v>
      </c>
      <c r="F60">
        <f>VLOOKUP(B60,locs_llm!A:B,2,0)</f>
        <v>27</v>
      </c>
      <c r="G60">
        <f>IFERROR(VLOOKUP(C60,locs_minimized!A:B,2,0),F60)</f>
        <v>27</v>
      </c>
      <c r="I60">
        <f t="shared" si="1"/>
        <v>1</v>
      </c>
    </row>
    <row r="61" spans="1:9" x14ac:dyDescent="0.45">
      <c r="A61" t="s">
        <v>61</v>
      </c>
      <c r="B61" t="s">
        <v>183</v>
      </c>
      <c r="C61" t="str">
        <f t="shared" si="0"/>
        <v>task_id_476_2_llm_simplified.dfy</v>
      </c>
      <c r="D61">
        <f>VLOOKUP(A61,locs_manual_and_stripped!A:B,2,0)</f>
        <v>54</v>
      </c>
      <c r="E61">
        <f>VLOOKUP(A61,locs_manual_and_stripped!A:C,3,0)</f>
        <v>26</v>
      </c>
      <c r="F61">
        <f>VLOOKUP(B61,locs_llm!A:B,2,0)</f>
        <v>59</v>
      </c>
      <c r="G61">
        <f>IFERROR(VLOOKUP(C61,locs_minimized!A:B,2,0),F61)</f>
        <v>49</v>
      </c>
      <c r="I61">
        <f t="shared" si="1"/>
        <v>-5</v>
      </c>
    </row>
    <row r="62" spans="1:9" x14ac:dyDescent="0.45">
      <c r="A62" t="s">
        <v>62</v>
      </c>
      <c r="B62" t="s">
        <v>184</v>
      </c>
      <c r="C62" t="str">
        <f t="shared" si="0"/>
        <v>task_id_477_1_llm_simplified.dfy</v>
      </c>
      <c r="D62">
        <f>VLOOKUP(A62,locs_manual_and_stripped!A:B,2,0)</f>
        <v>27</v>
      </c>
      <c r="E62">
        <f>VLOOKUP(A62,locs_manual_and_stripped!A:C,3,0)</f>
        <v>22</v>
      </c>
      <c r="F62">
        <f>VLOOKUP(B62,locs_llm!A:B,2,0)</f>
        <v>26</v>
      </c>
      <c r="G62">
        <f>IFERROR(VLOOKUP(C62,locs_minimized!A:B,2,0),F62)</f>
        <v>26</v>
      </c>
      <c r="I62">
        <f t="shared" si="1"/>
        <v>-1</v>
      </c>
    </row>
    <row r="63" spans="1:9" x14ac:dyDescent="0.45">
      <c r="A63" t="s">
        <v>63</v>
      </c>
      <c r="B63" t="s">
        <v>185</v>
      </c>
      <c r="C63" t="str">
        <f t="shared" si="0"/>
        <v>task_id_555_1_llm_simplified.dfy</v>
      </c>
      <c r="D63">
        <f>VLOOKUP(A63,locs_manual_and_stripped!A:B,2,0)</f>
        <v>43</v>
      </c>
      <c r="E63">
        <f>VLOOKUP(A63,locs_manual_and_stripped!A:C,3,0)</f>
        <v>36</v>
      </c>
      <c r="F63">
        <f>VLOOKUP(B63,locs_llm!A:B,2,0)</f>
        <v>51</v>
      </c>
      <c r="G63">
        <f>IFERROR(VLOOKUP(C63,locs_minimized!A:B,2,0),F63)</f>
        <v>51</v>
      </c>
      <c r="I63">
        <f t="shared" si="1"/>
        <v>8</v>
      </c>
    </row>
    <row r="64" spans="1:9" x14ac:dyDescent="0.45">
      <c r="A64" t="s">
        <v>64</v>
      </c>
      <c r="B64" t="s">
        <v>186</v>
      </c>
      <c r="C64" t="str">
        <f t="shared" si="0"/>
        <v>task_id_557_1_llm_simplified.dfy</v>
      </c>
      <c r="D64">
        <f>VLOOKUP(A64,locs_manual_and_stripped!A:B,2,0)</f>
        <v>24</v>
      </c>
      <c r="E64">
        <f>VLOOKUP(A64,locs_manual_and_stripped!A:C,3,0)</f>
        <v>19</v>
      </c>
      <c r="F64">
        <f>VLOOKUP(B64,locs_llm!A:B,2,0)</f>
        <v>23</v>
      </c>
      <c r="G64">
        <f>IFERROR(VLOOKUP(C64,locs_minimized!A:B,2,0),F64)</f>
        <v>23</v>
      </c>
      <c r="I64">
        <f t="shared" si="1"/>
        <v>-1</v>
      </c>
    </row>
    <row r="65" spans="1:9" x14ac:dyDescent="0.45">
      <c r="A65" t="s">
        <v>65</v>
      </c>
      <c r="B65" t="s">
        <v>187</v>
      </c>
      <c r="C65" t="str">
        <f t="shared" si="0"/>
        <v>task_id_566_1_llm_simplified.dfy</v>
      </c>
      <c r="D65">
        <f>VLOOKUP(A65,locs_manual_and_stripped!A:B,2,0)</f>
        <v>28</v>
      </c>
      <c r="E65">
        <f>VLOOKUP(A65,locs_manual_and_stripped!A:C,3,0)</f>
        <v>22</v>
      </c>
      <c r="F65">
        <f>VLOOKUP(B65,locs_llm!A:B,2,0)</f>
        <v>29</v>
      </c>
      <c r="G65">
        <f>IFERROR(VLOOKUP(C65,locs_minimized!A:B,2,0),F65)</f>
        <v>29</v>
      </c>
      <c r="I65">
        <f t="shared" si="1"/>
        <v>1</v>
      </c>
    </row>
    <row r="66" spans="1:9" x14ac:dyDescent="0.45">
      <c r="A66" t="s">
        <v>66</v>
      </c>
      <c r="B66" t="s">
        <v>188</v>
      </c>
      <c r="C66" t="str">
        <f t="shared" si="0"/>
        <v>task_id_567_2_llm_simplified.dfy</v>
      </c>
      <c r="D66">
        <f>VLOOKUP(A66,locs_manual_and_stripped!A:B,2,0)</f>
        <v>23</v>
      </c>
      <c r="E66">
        <f>VLOOKUP(A66,locs_manual_and_stripped!A:C,3,0)</f>
        <v>20</v>
      </c>
      <c r="F66">
        <f>VLOOKUP(B66,locs_llm!A:B,2,0)</f>
        <v>46</v>
      </c>
      <c r="G66">
        <f>IFERROR(VLOOKUP(C66,locs_minimized!A:B,2,0),F66)</f>
        <v>28</v>
      </c>
      <c r="I66">
        <f t="shared" si="1"/>
        <v>5</v>
      </c>
    </row>
    <row r="67" spans="1:9" x14ac:dyDescent="0.45">
      <c r="A67" t="s">
        <v>67</v>
      </c>
      <c r="B67" t="s">
        <v>189</v>
      </c>
      <c r="C67" t="str">
        <f t="shared" ref="C67:C109" si="2">LEFT(B67,LEN(B67)-4)&amp;"_simplified.dfy"</f>
        <v>task_id_572_4_llm_simplified.dfy</v>
      </c>
      <c r="D67">
        <f>VLOOKUP(A67,locs_manual_and_stripped!A:B,2,0)</f>
        <v>37</v>
      </c>
      <c r="E67">
        <f>VLOOKUP(A67,locs_manual_and_stripped!A:C,3,0)</f>
        <v>18</v>
      </c>
      <c r="F67">
        <f>VLOOKUP(B67,locs_llm!A:B,2,0)</f>
        <v>120</v>
      </c>
      <c r="G67">
        <f>IFERROR(VLOOKUP(C67,locs_minimized!A:B,2,0),F67)</f>
        <v>51</v>
      </c>
      <c r="I67">
        <f t="shared" ref="I67:I110" si="3">G67-D67</f>
        <v>14</v>
      </c>
    </row>
    <row r="68" spans="1:9" x14ac:dyDescent="0.45">
      <c r="A68" t="s">
        <v>68</v>
      </c>
      <c r="B68" t="s">
        <v>190</v>
      </c>
      <c r="C68" t="str">
        <f t="shared" si="2"/>
        <v>task_id_573_3_llm_simplified.dfy</v>
      </c>
      <c r="D68">
        <f>VLOOKUP(A68,locs_manual_and_stripped!A:B,2,0)</f>
        <v>56</v>
      </c>
      <c r="E68">
        <f>VLOOKUP(A68,locs_manual_and_stripped!A:C,3,0)</f>
        <v>20</v>
      </c>
      <c r="F68">
        <f>VLOOKUP(B68,locs_llm!A:B,2,0)</f>
        <v>93</v>
      </c>
      <c r="G68">
        <f>IFERROR(VLOOKUP(C68,locs_minimized!A:B,2,0),F68)</f>
        <v>63</v>
      </c>
      <c r="I68">
        <f t="shared" si="3"/>
        <v>7</v>
      </c>
    </row>
    <row r="69" spans="1:9" x14ac:dyDescent="0.45">
      <c r="A69" t="s">
        <v>69</v>
      </c>
      <c r="B69" t="s">
        <v>191</v>
      </c>
      <c r="C69" t="str">
        <f t="shared" si="2"/>
        <v>task_id_576_3_llm_simplified.dfy</v>
      </c>
      <c r="D69">
        <f>VLOOKUP(A69,locs_manual_and_stripped!A:B,2,0)</f>
        <v>34</v>
      </c>
      <c r="E69">
        <f>VLOOKUP(A69,locs_manual_and_stripped!A:C,3,0)</f>
        <v>27</v>
      </c>
      <c r="F69">
        <f>VLOOKUP(B69,locs_llm!A:B,2,0)</f>
        <v>52</v>
      </c>
      <c r="G69">
        <f>IFERROR(VLOOKUP(C69,locs_minimized!A:B,2,0),F69)</f>
        <v>44</v>
      </c>
      <c r="I69">
        <f t="shared" si="3"/>
        <v>10</v>
      </c>
    </row>
    <row r="70" spans="1:9" x14ac:dyDescent="0.45">
      <c r="A70" t="s">
        <v>70</v>
      </c>
      <c r="B70" t="s">
        <v>192</v>
      </c>
      <c r="C70" t="str">
        <f t="shared" si="2"/>
        <v>task_id_578_2_llm_simplified.dfy</v>
      </c>
      <c r="D70">
        <f>VLOOKUP(A70,locs_manual_and_stripped!A:B,2,0)</f>
        <v>23</v>
      </c>
      <c r="E70">
        <f>VLOOKUP(A70,locs_manual_and_stripped!A:C,3,0)</f>
        <v>15</v>
      </c>
      <c r="F70">
        <f>VLOOKUP(B70,locs_llm!A:B,2,0)</f>
        <v>27</v>
      </c>
      <c r="G70">
        <f>IFERROR(VLOOKUP(C70,locs_minimized!A:B,2,0),F70)</f>
        <v>23</v>
      </c>
      <c r="I70">
        <f t="shared" si="3"/>
        <v>0</v>
      </c>
    </row>
    <row r="71" spans="1:9" x14ac:dyDescent="0.45">
      <c r="A71" t="s">
        <v>71</v>
      </c>
      <c r="B71" t="s">
        <v>193</v>
      </c>
      <c r="C71" t="str">
        <f t="shared" si="2"/>
        <v>task_id_579_2_llm_simplified.dfy</v>
      </c>
      <c r="D71">
        <f>VLOOKUP(A71,locs_manual_and_stripped!A:B,2,0)</f>
        <v>49</v>
      </c>
      <c r="E71">
        <f>VLOOKUP(A71,locs_manual_and_stripped!A:C,3,0)</f>
        <v>42</v>
      </c>
      <c r="F71">
        <f>VLOOKUP(B71,locs_llm!A:B,2,0)</f>
        <v>62</v>
      </c>
      <c r="G71">
        <f>IFERROR(VLOOKUP(C71,locs_minimized!A:B,2,0),F71)</f>
        <v>54</v>
      </c>
      <c r="I71">
        <f t="shared" si="3"/>
        <v>5</v>
      </c>
    </row>
    <row r="72" spans="1:9" x14ac:dyDescent="0.45">
      <c r="A72" t="s">
        <v>72</v>
      </c>
      <c r="B72" t="s">
        <v>194</v>
      </c>
      <c r="C72" t="str">
        <f t="shared" si="2"/>
        <v>task_id_587_1_llm_simplified.dfy</v>
      </c>
      <c r="D72">
        <f>VLOOKUP(A72,locs_manual_and_stripped!A:B,2,0)</f>
        <v>15</v>
      </c>
      <c r="E72">
        <f>VLOOKUP(A72,locs_manual_and_stripped!A:C,3,0)</f>
        <v>13</v>
      </c>
      <c r="F72">
        <f>VLOOKUP(B72,locs_llm!A:B,2,0)</f>
        <v>15</v>
      </c>
      <c r="G72">
        <f>IFERROR(VLOOKUP(C72,locs_minimized!A:B,2,0),F72)</f>
        <v>15</v>
      </c>
      <c r="I72">
        <f t="shared" si="3"/>
        <v>0</v>
      </c>
    </row>
    <row r="73" spans="1:9" x14ac:dyDescent="0.45">
      <c r="A73" t="s">
        <v>73</v>
      </c>
      <c r="B73" t="s">
        <v>195</v>
      </c>
      <c r="C73" t="str">
        <f t="shared" si="2"/>
        <v>task_id_594_2_llm_simplified.dfy</v>
      </c>
      <c r="D73">
        <f>VLOOKUP(A73,locs_manual_and_stripped!A:B,2,0)</f>
        <v>48</v>
      </c>
      <c r="E73">
        <f>VLOOKUP(A73,locs_manual_and_stripped!A:C,3,0)</f>
        <v>37</v>
      </c>
      <c r="F73">
        <f>VLOOKUP(B73,locs_llm!A:B,2,0)</f>
        <v>56</v>
      </c>
      <c r="G73">
        <f>IFERROR(VLOOKUP(C73,locs_minimized!A:B,2,0),F73)</f>
        <v>48</v>
      </c>
      <c r="I73">
        <f t="shared" si="3"/>
        <v>0</v>
      </c>
    </row>
    <row r="74" spans="1:9" x14ac:dyDescent="0.45">
      <c r="A74" t="s">
        <v>74</v>
      </c>
      <c r="B74" t="s">
        <v>196</v>
      </c>
      <c r="C74" t="str">
        <f t="shared" si="2"/>
        <v>task_id_599_1_llm_simplified.dfy</v>
      </c>
      <c r="D74">
        <f>VLOOKUP(A74,locs_manual_and_stripped!A:B,2,0)</f>
        <v>21</v>
      </c>
      <c r="E74">
        <f>VLOOKUP(A74,locs_manual_and_stripped!A:C,3,0)</f>
        <v>17</v>
      </c>
      <c r="F74">
        <f>VLOOKUP(B74,locs_llm!A:B,2,0)</f>
        <v>21</v>
      </c>
      <c r="G74">
        <f>IFERROR(VLOOKUP(C74,locs_minimized!A:B,2,0),F74)</f>
        <v>21</v>
      </c>
      <c r="I74">
        <f t="shared" si="3"/>
        <v>0</v>
      </c>
    </row>
    <row r="75" spans="1:9" x14ac:dyDescent="0.45">
      <c r="A75" t="s">
        <v>75</v>
      </c>
      <c r="B75" t="s">
        <v>197</v>
      </c>
      <c r="C75" t="str">
        <f t="shared" si="2"/>
        <v>task_id_602_2_llm_simplified.dfy</v>
      </c>
      <c r="D75">
        <f>VLOOKUP(A75,locs_manual_and_stripped!A:B,2,0)</f>
        <v>31</v>
      </c>
      <c r="E75">
        <f>VLOOKUP(A75,locs_manual_and_stripped!A:C,3,0)</f>
        <v>25</v>
      </c>
      <c r="F75">
        <f>VLOOKUP(B75,locs_llm!A:B,2,0)</f>
        <v>45</v>
      </c>
      <c r="G75">
        <f>IFERROR(VLOOKUP(C75,locs_minimized!A:B,2,0),F75)</f>
        <v>32</v>
      </c>
      <c r="I75">
        <f t="shared" si="3"/>
        <v>1</v>
      </c>
    </row>
    <row r="76" spans="1:9" x14ac:dyDescent="0.45">
      <c r="A76" t="s">
        <v>76</v>
      </c>
      <c r="B76" t="s">
        <v>198</v>
      </c>
      <c r="C76" t="str">
        <f t="shared" si="2"/>
        <v>task_id_605_2_llm_simplified.dfy</v>
      </c>
      <c r="D76">
        <f>VLOOKUP(A76,locs_manual_and_stripped!A:B,2,0)</f>
        <v>22</v>
      </c>
      <c r="E76">
        <f>VLOOKUP(A76,locs_manual_and_stripped!A:C,3,0)</f>
        <v>18</v>
      </c>
      <c r="F76">
        <f>VLOOKUP(B76,locs_llm!A:B,2,0)</f>
        <v>52</v>
      </c>
      <c r="G76">
        <f>IFERROR(VLOOKUP(C76,locs_minimized!A:B,2,0),F76)</f>
        <v>30</v>
      </c>
      <c r="I76">
        <f t="shared" si="3"/>
        <v>8</v>
      </c>
    </row>
    <row r="77" spans="1:9" x14ac:dyDescent="0.45">
      <c r="A77" t="s">
        <v>77</v>
      </c>
      <c r="B77" t="s">
        <v>199</v>
      </c>
      <c r="C77" t="str">
        <f t="shared" si="2"/>
        <v>task_id_610_1_llm_simplified.dfy</v>
      </c>
      <c r="D77">
        <f>VLOOKUP(A77,locs_manual_and_stripped!A:B,2,0)</f>
        <v>26</v>
      </c>
      <c r="E77">
        <f>VLOOKUP(A77,locs_manual_and_stripped!A:C,3,0)</f>
        <v>21</v>
      </c>
      <c r="F77">
        <f>VLOOKUP(B77,locs_llm!A:B,2,0)</f>
        <v>30</v>
      </c>
      <c r="G77">
        <f>IFERROR(VLOOKUP(C77,locs_minimized!A:B,2,0),F77)</f>
        <v>28</v>
      </c>
      <c r="I77">
        <f t="shared" si="3"/>
        <v>2</v>
      </c>
    </row>
    <row r="78" spans="1:9" x14ac:dyDescent="0.45">
      <c r="A78" t="s">
        <v>78</v>
      </c>
      <c r="B78" t="s">
        <v>200</v>
      </c>
      <c r="C78" t="str">
        <f t="shared" si="2"/>
        <v>task_id_616_1_llm_simplified.dfy</v>
      </c>
      <c r="D78">
        <f>VLOOKUP(A78,locs_manual_and_stripped!A:B,2,0)</f>
        <v>24</v>
      </c>
      <c r="E78">
        <f>VLOOKUP(A78,locs_manual_and_stripped!A:C,3,0)</f>
        <v>18</v>
      </c>
      <c r="F78">
        <f>VLOOKUP(B78,locs_llm!A:B,2,0)</f>
        <v>24</v>
      </c>
      <c r="G78">
        <f>IFERROR(VLOOKUP(C78,locs_minimized!A:B,2,0),F78)</f>
        <v>23</v>
      </c>
      <c r="I78">
        <f t="shared" si="3"/>
        <v>-1</v>
      </c>
    </row>
    <row r="79" spans="1:9" x14ac:dyDescent="0.45">
      <c r="A79" t="s">
        <v>79</v>
      </c>
      <c r="B79" t="s">
        <v>201</v>
      </c>
      <c r="C79" t="str">
        <f t="shared" si="2"/>
        <v>task_id_62_2_llm_simplified.dfy</v>
      </c>
      <c r="D79">
        <f>VLOOKUP(A79,locs_manual_and_stripped!A:B,2,0)</f>
        <v>30</v>
      </c>
      <c r="E79">
        <f>VLOOKUP(A79,locs_manual_and_stripped!A:C,3,0)</f>
        <v>21</v>
      </c>
      <c r="F79">
        <f>VLOOKUP(B79,locs_llm!A:B,2,0)</f>
        <v>51</v>
      </c>
      <c r="G79">
        <f>IFERROR(VLOOKUP(C79,locs_minimized!A:B,2,0),F79)</f>
        <v>29</v>
      </c>
      <c r="I79">
        <f t="shared" si="3"/>
        <v>-1</v>
      </c>
    </row>
    <row r="80" spans="1:9" x14ac:dyDescent="0.45">
      <c r="A80" t="s">
        <v>80</v>
      </c>
      <c r="B80" t="s">
        <v>202</v>
      </c>
      <c r="C80" t="str">
        <f t="shared" si="2"/>
        <v>task_id_623_1_llm_simplified.dfy</v>
      </c>
      <c r="D80">
        <f>VLOOKUP(A80,locs_manual_and_stripped!A:B,2,0)</f>
        <v>25</v>
      </c>
      <c r="E80">
        <f>VLOOKUP(A80,locs_manual_and_stripped!A:C,3,0)</f>
        <v>20</v>
      </c>
      <c r="F80">
        <f>VLOOKUP(B80,locs_llm!A:B,2,0)</f>
        <v>24</v>
      </c>
      <c r="G80">
        <f>IFERROR(VLOOKUP(C80,locs_minimized!A:B,2,0),F80)</f>
        <v>24</v>
      </c>
      <c r="I80">
        <f t="shared" si="3"/>
        <v>-1</v>
      </c>
    </row>
    <row r="81" spans="1:9" x14ac:dyDescent="0.45">
      <c r="A81" t="s">
        <v>81</v>
      </c>
      <c r="B81" t="s">
        <v>203</v>
      </c>
      <c r="C81" t="str">
        <f t="shared" si="2"/>
        <v>task_id_624_1_llm_simplified.dfy</v>
      </c>
      <c r="D81">
        <f>VLOOKUP(A81,locs_manual_and_stripped!A:B,2,0)</f>
        <v>22</v>
      </c>
      <c r="E81">
        <f>VLOOKUP(A81,locs_manual_and_stripped!A:C,3,0)</f>
        <v>17</v>
      </c>
      <c r="F81">
        <f>VLOOKUP(B81,locs_llm!A:B,2,0)</f>
        <v>21</v>
      </c>
      <c r="G81">
        <f>IFERROR(VLOOKUP(C81,locs_minimized!A:B,2,0),F81)</f>
        <v>21</v>
      </c>
      <c r="I81">
        <f t="shared" si="3"/>
        <v>-1</v>
      </c>
    </row>
    <row r="82" spans="1:9" x14ac:dyDescent="0.45">
      <c r="A82" t="s">
        <v>82</v>
      </c>
      <c r="B82" t="s">
        <v>204</v>
      </c>
      <c r="C82" t="str">
        <f t="shared" si="2"/>
        <v>task_id_627_2_llm_simplified.dfy</v>
      </c>
      <c r="D82">
        <f>VLOOKUP(A82,locs_manual_and_stripped!A:B,2,0)</f>
        <v>36</v>
      </c>
      <c r="E82">
        <f>VLOOKUP(A82,locs_manual_and_stripped!A:C,3,0)</f>
        <v>24</v>
      </c>
      <c r="F82">
        <f>VLOOKUP(B82,locs_llm!A:B,2,0)</f>
        <v>44</v>
      </c>
      <c r="G82">
        <f>IFERROR(VLOOKUP(C82,locs_minimized!A:B,2,0),F82)</f>
        <v>32</v>
      </c>
      <c r="I82">
        <f t="shared" si="3"/>
        <v>-4</v>
      </c>
    </row>
    <row r="83" spans="1:9" x14ac:dyDescent="0.45">
      <c r="A83" t="s">
        <v>83</v>
      </c>
      <c r="B83" t="s">
        <v>205</v>
      </c>
      <c r="C83" t="str">
        <f t="shared" si="2"/>
        <v>task_id_629_2_llm_simplified.dfy</v>
      </c>
      <c r="D83">
        <f>VLOOKUP(A83,locs_manual_and_stripped!A:B,2,0)</f>
        <v>49</v>
      </c>
      <c r="E83">
        <f>VLOOKUP(A83,locs_manual_and_stripped!A:C,3,0)</f>
        <v>30</v>
      </c>
      <c r="F83">
        <f>VLOOKUP(B83,locs_llm!A:B,2,0)</f>
        <v>45</v>
      </c>
      <c r="G83">
        <f>IFERROR(VLOOKUP(C83,locs_minimized!A:B,2,0),F83)</f>
        <v>40</v>
      </c>
      <c r="I83">
        <f t="shared" si="3"/>
        <v>-9</v>
      </c>
    </row>
    <row r="84" spans="1:9" x14ac:dyDescent="0.45">
      <c r="A84" t="s">
        <v>84</v>
      </c>
      <c r="B84" t="s">
        <v>206</v>
      </c>
      <c r="C84" t="str">
        <f t="shared" si="2"/>
        <v>task_id_632_6_llm_simplified.dfy</v>
      </c>
      <c r="D84">
        <f>VLOOKUP(A84,locs_manual_and_stripped!A:B,2,0)</f>
        <v>48</v>
      </c>
      <c r="E84">
        <f>VLOOKUP(A84,locs_manual_and_stripped!A:C,3,0)</f>
        <v>22</v>
      </c>
      <c r="F84">
        <f>VLOOKUP(B84,locs_llm!A:B,2,0)</f>
        <v>135</v>
      </c>
      <c r="G84">
        <f>IFERROR(VLOOKUP(C84,locs_minimized!A:B,2,0),F84)</f>
        <v>94</v>
      </c>
      <c r="I84">
        <f t="shared" si="3"/>
        <v>46</v>
      </c>
    </row>
    <row r="85" spans="1:9" x14ac:dyDescent="0.45">
      <c r="A85" t="s">
        <v>85</v>
      </c>
      <c r="B85" t="s">
        <v>207</v>
      </c>
      <c r="C85" t="str">
        <f t="shared" si="2"/>
        <v>task_id_644_1_llm_simplified.dfy</v>
      </c>
      <c r="D85">
        <f>VLOOKUP(A85,locs_manual_and_stripped!A:B,2,0)</f>
        <v>31</v>
      </c>
      <c r="E85">
        <f>VLOOKUP(A85,locs_manual_and_stripped!A:C,3,0)</f>
        <v>25</v>
      </c>
      <c r="F85">
        <f>VLOOKUP(B85,locs_llm!A:B,2,0)</f>
        <v>32</v>
      </c>
      <c r="G85">
        <f>IFERROR(VLOOKUP(C85,locs_minimized!A:B,2,0),F85)</f>
        <v>32</v>
      </c>
      <c r="I85">
        <f t="shared" si="3"/>
        <v>1</v>
      </c>
    </row>
    <row r="86" spans="1:9" x14ac:dyDescent="0.45">
      <c r="A86" t="s">
        <v>86</v>
      </c>
      <c r="B86" t="s">
        <v>208</v>
      </c>
      <c r="C86" t="str">
        <f t="shared" si="2"/>
        <v>task_id_69_1_llm_simplified.dfy</v>
      </c>
      <c r="D86">
        <f>VLOOKUP(A86,locs_manual_and_stripped!A:B,2,0)</f>
        <v>27</v>
      </c>
      <c r="E86">
        <f>VLOOKUP(A86,locs_manual_and_stripped!A:C,3,0)</f>
        <v>25</v>
      </c>
      <c r="F86">
        <f>VLOOKUP(B86,locs_llm!A:B,2,0)</f>
        <v>27</v>
      </c>
      <c r="G86">
        <f>IFERROR(VLOOKUP(C86,locs_minimized!A:B,2,0),F86)</f>
        <v>27</v>
      </c>
      <c r="I86">
        <f t="shared" si="3"/>
        <v>0</v>
      </c>
    </row>
    <row r="87" spans="1:9" x14ac:dyDescent="0.45">
      <c r="A87" t="s">
        <v>87</v>
      </c>
      <c r="B87" t="s">
        <v>209</v>
      </c>
      <c r="C87" t="str">
        <f t="shared" si="2"/>
        <v>task_id_70_2_llm_simplified.dfy</v>
      </c>
      <c r="D87">
        <f>VLOOKUP(A87,locs_manual_and_stripped!A:B,2,0)</f>
        <v>28</v>
      </c>
      <c r="E87">
        <f>VLOOKUP(A87,locs_manual_and_stripped!A:C,3,0)</f>
        <v>25</v>
      </c>
      <c r="F87">
        <f>VLOOKUP(B87,locs_llm!A:B,2,0)</f>
        <v>30</v>
      </c>
      <c r="G87">
        <f>IFERROR(VLOOKUP(C87,locs_minimized!A:B,2,0),F87)</f>
        <v>28</v>
      </c>
      <c r="I87">
        <f t="shared" si="3"/>
        <v>0</v>
      </c>
    </row>
    <row r="88" spans="1:9" x14ac:dyDescent="0.45">
      <c r="A88" t="s">
        <v>88</v>
      </c>
      <c r="B88" t="s">
        <v>210</v>
      </c>
      <c r="C88" t="str">
        <f t="shared" si="2"/>
        <v>task_id_728_1_llm_simplified.dfy</v>
      </c>
      <c r="D88">
        <f>VLOOKUP(A88,locs_manual_and_stripped!A:B,2,0)</f>
        <v>23</v>
      </c>
      <c r="E88">
        <f>VLOOKUP(A88,locs_manual_and_stripped!A:C,3,0)</f>
        <v>18</v>
      </c>
      <c r="F88">
        <f>VLOOKUP(B88,locs_llm!A:B,2,0)</f>
        <v>23</v>
      </c>
      <c r="G88">
        <f>IFERROR(VLOOKUP(C88,locs_minimized!A:B,2,0),F88)</f>
        <v>23</v>
      </c>
      <c r="I88">
        <f t="shared" si="3"/>
        <v>0</v>
      </c>
    </row>
    <row r="89" spans="1:9" x14ac:dyDescent="0.45">
      <c r="A89" t="s">
        <v>89</v>
      </c>
      <c r="B89" t="s">
        <v>211</v>
      </c>
      <c r="C89" t="str">
        <f t="shared" si="2"/>
        <v>task_id_732_1_llm_simplified.dfy</v>
      </c>
      <c r="D89">
        <f>VLOOKUP(A89,locs_manual_and_stripped!A:B,2,0)</f>
        <v>24</v>
      </c>
      <c r="E89">
        <f>VLOOKUP(A89,locs_manual_and_stripped!A:C,3,0)</f>
        <v>19</v>
      </c>
      <c r="F89">
        <f>VLOOKUP(B89,locs_llm!A:B,2,0)</f>
        <v>23</v>
      </c>
      <c r="G89">
        <f>IFERROR(VLOOKUP(C89,locs_minimized!A:B,2,0),F89)</f>
        <v>23</v>
      </c>
      <c r="I89">
        <f t="shared" si="3"/>
        <v>-1</v>
      </c>
    </row>
    <row r="90" spans="1:9" x14ac:dyDescent="0.45">
      <c r="A90" t="s">
        <v>90</v>
      </c>
      <c r="B90" t="s">
        <v>212</v>
      </c>
      <c r="C90" t="str">
        <f t="shared" si="2"/>
        <v>task_id_733_2_llm_simplified.dfy</v>
      </c>
      <c r="D90">
        <f>VLOOKUP(A90,locs_manual_and_stripped!A:B,2,0)</f>
        <v>28</v>
      </c>
      <c r="E90">
        <f>VLOOKUP(A90,locs_manual_and_stripped!A:C,3,0)</f>
        <v>23</v>
      </c>
      <c r="F90">
        <f>VLOOKUP(B90,locs_llm!A:B,2,0)</f>
        <v>49</v>
      </c>
      <c r="G90">
        <f>IFERROR(VLOOKUP(C90,locs_minimized!A:B,2,0),F90)</f>
        <v>35</v>
      </c>
      <c r="I90">
        <f t="shared" si="3"/>
        <v>7</v>
      </c>
    </row>
    <row r="91" spans="1:9" x14ac:dyDescent="0.45">
      <c r="A91" t="s">
        <v>91</v>
      </c>
      <c r="B91" t="s">
        <v>213</v>
      </c>
      <c r="C91" t="str">
        <f t="shared" si="2"/>
        <v>task_id_741_2_llm_simplified.dfy</v>
      </c>
      <c r="D91">
        <f>VLOOKUP(A91,locs_manual_and_stripped!A:B,2,0)</f>
        <v>24</v>
      </c>
      <c r="E91">
        <f>VLOOKUP(A91,locs_manual_and_stripped!A:C,3,0)</f>
        <v>21</v>
      </c>
      <c r="F91">
        <f>VLOOKUP(B91,locs_llm!A:B,2,0)</f>
        <v>25</v>
      </c>
      <c r="G91">
        <f>IFERROR(VLOOKUP(C91,locs_minimized!A:B,2,0),F91)</f>
        <v>24</v>
      </c>
      <c r="I91">
        <f t="shared" si="3"/>
        <v>0</v>
      </c>
    </row>
    <row r="92" spans="1:9" x14ac:dyDescent="0.45">
      <c r="A92" t="s">
        <v>92</v>
      </c>
      <c r="B92" t="s">
        <v>214</v>
      </c>
      <c r="C92" t="str">
        <f t="shared" si="2"/>
        <v>task_id_743_1_llm_simplified.dfy</v>
      </c>
      <c r="D92">
        <f>VLOOKUP(A92,locs_manual_and_stripped!A:B,2,0)</f>
        <v>22</v>
      </c>
      <c r="E92">
        <f>VLOOKUP(A92,locs_manual_and_stripped!A:C,3,0)</f>
        <v>18</v>
      </c>
      <c r="F92">
        <f>VLOOKUP(B92,locs_llm!A:B,2,0)</f>
        <v>26</v>
      </c>
      <c r="G92">
        <f>IFERROR(VLOOKUP(C92,locs_minimized!A:B,2,0),F92)</f>
        <v>22</v>
      </c>
      <c r="I92">
        <f t="shared" si="3"/>
        <v>0</v>
      </c>
    </row>
    <row r="93" spans="1:9" x14ac:dyDescent="0.45">
      <c r="A93" t="s">
        <v>93</v>
      </c>
      <c r="B93" t="s">
        <v>215</v>
      </c>
      <c r="C93" t="str">
        <f t="shared" si="2"/>
        <v>task_id_751_2_llm_simplified.dfy</v>
      </c>
      <c r="D93">
        <f>VLOOKUP(A93,locs_manual_and_stripped!A:B,2,0)</f>
        <v>31</v>
      </c>
      <c r="E93">
        <f>VLOOKUP(A93,locs_manual_and_stripped!A:C,3,0)</f>
        <v>28</v>
      </c>
      <c r="F93">
        <f>VLOOKUP(B93,locs_llm!A:B,2,0)</f>
        <v>36</v>
      </c>
      <c r="G93">
        <f>IFERROR(VLOOKUP(C93,locs_minimized!A:B,2,0),F93)</f>
        <v>31</v>
      </c>
      <c r="I93">
        <f t="shared" si="3"/>
        <v>0</v>
      </c>
    </row>
    <row r="94" spans="1:9" x14ac:dyDescent="0.45">
      <c r="A94" t="s">
        <v>94</v>
      </c>
      <c r="B94" t="s">
        <v>216</v>
      </c>
      <c r="C94" t="str">
        <f t="shared" si="2"/>
        <v>task_id_755_2_llm_simplified.dfy</v>
      </c>
      <c r="D94">
        <f>VLOOKUP(A94,locs_manual_and_stripped!A:B,2,0)</f>
        <v>38</v>
      </c>
      <c r="E94">
        <f>VLOOKUP(A94,locs_manual_and_stripped!A:C,3,0)</f>
        <v>28</v>
      </c>
      <c r="F94">
        <f>VLOOKUP(B94,locs_llm!A:B,2,0)</f>
        <v>95</v>
      </c>
      <c r="G94">
        <f>IFERROR(VLOOKUP(C94,locs_minimized!A:B,2,0),F94)</f>
        <v>62</v>
      </c>
      <c r="I94">
        <f t="shared" si="3"/>
        <v>24</v>
      </c>
    </row>
    <row r="95" spans="1:9" x14ac:dyDescent="0.45">
      <c r="A95" t="s">
        <v>95</v>
      </c>
      <c r="B95" t="s">
        <v>217</v>
      </c>
      <c r="C95" t="str">
        <f t="shared" si="2"/>
        <v>task_id_760_4_llm_simplified.dfy</v>
      </c>
      <c r="D95">
        <f>VLOOKUP(A95,locs_manual_and_stripped!A:B,2,0)</f>
        <v>28</v>
      </c>
      <c r="E95">
        <f>VLOOKUP(A95,locs_manual_and_stripped!A:C,3,0)</f>
        <v>25</v>
      </c>
      <c r="F95">
        <f>VLOOKUP(B95,locs_llm!A:B,2,0)</f>
        <v>33</v>
      </c>
      <c r="G95">
        <f>IFERROR(VLOOKUP(C95,locs_minimized!A:B,2,0),F95)</f>
        <v>28</v>
      </c>
      <c r="I95">
        <f t="shared" si="3"/>
        <v>0</v>
      </c>
    </row>
    <row r="96" spans="1:9" x14ac:dyDescent="0.45">
      <c r="A96" t="s">
        <v>96</v>
      </c>
      <c r="B96" t="s">
        <v>218</v>
      </c>
      <c r="C96" t="str">
        <f t="shared" si="2"/>
        <v>task_id_769_2_llm_simplified.dfy</v>
      </c>
      <c r="D96">
        <f>VLOOKUP(A96,locs_manual_and_stripped!A:B,2,0)</f>
        <v>33</v>
      </c>
      <c r="E96">
        <f>VLOOKUP(A96,locs_manual_and_stripped!A:C,3,0)</f>
        <v>24</v>
      </c>
      <c r="F96">
        <f>VLOOKUP(B96,locs_llm!A:B,2,0)</f>
        <v>42</v>
      </c>
      <c r="G96">
        <f>IFERROR(VLOOKUP(C96,locs_minimized!A:B,2,0),F96)</f>
        <v>35</v>
      </c>
      <c r="I96">
        <f t="shared" si="3"/>
        <v>2</v>
      </c>
    </row>
    <row r="97" spans="1:9" x14ac:dyDescent="0.45">
      <c r="A97" t="s">
        <v>97</v>
      </c>
      <c r="B97" t="s">
        <v>219</v>
      </c>
      <c r="C97" t="str">
        <f t="shared" si="2"/>
        <v>task_id_770_1_llm_simplified.dfy</v>
      </c>
      <c r="D97">
        <f>VLOOKUP(A97,locs_manual_and_stripped!A:B,2,0)</f>
        <v>23</v>
      </c>
      <c r="E97">
        <f>VLOOKUP(A97,locs_manual_and_stripped!A:C,3,0)</f>
        <v>20</v>
      </c>
      <c r="F97">
        <f>VLOOKUP(B97,locs_llm!A:B,2,0)</f>
        <v>30</v>
      </c>
      <c r="G97">
        <f>IFERROR(VLOOKUP(C97,locs_minimized!A:B,2,0),F97)</f>
        <v>30</v>
      </c>
      <c r="I97">
        <f t="shared" si="3"/>
        <v>7</v>
      </c>
    </row>
    <row r="98" spans="1:9" x14ac:dyDescent="0.45">
      <c r="A98" t="s">
        <v>98</v>
      </c>
      <c r="B98" t="s">
        <v>220</v>
      </c>
      <c r="C98" t="str">
        <f t="shared" si="2"/>
        <v>task_id_775_2_llm_simplified.dfy</v>
      </c>
      <c r="D98">
        <f>VLOOKUP(A98,locs_manual_and_stripped!A:B,2,0)</f>
        <v>24</v>
      </c>
      <c r="E98">
        <f>VLOOKUP(A98,locs_manual_and_stripped!A:C,3,0)</f>
        <v>21</v>
      </c>
      <c r="F98">
        <f>VLOOKUP(B98,locs_llm!A:B,2,0)</f>
        <v>33</v>
      </c>
      <c r="G98">
        <f>IFERROR(VLOOKUP(C98,locs_minimized!A:B,2,0),F98)</f>
        <v>24</v>
      </c>
      <c r="I98">
        <f t="shared" si="3"/>
        <v>0</v>
      </c>
    </row>
    <row r="99" spans="1:9" x14ac:dyDescent="0.45">
      <c r="A99" t="s">
        <v>99</v>
      </c>
      <c r="B99" t="s">
        <v>221</v>
      </c>
      <c r="C99" t="str">
        <f t="shared" si="2"/>
        <v>task_id_784_2_llm_simplified.dfy</v>
      </c>
      <c r="D99">
        <f>VLOOKUP(A99,locs_manual_and_stripped!A:B,2,0)</f>
        <v>57</v>
      </c>
      <c r="E99">
        <f>VLOOKUP(A99,locs_manual_and_stripped!A:C,3,0)</f>
        <v>36</v>
      </c>
      <c r="F99">
        <f>VLOOKUP(B99,locs_llm!A:B,2,0)</f>
        <v>68</v>
      </c>
      <c r="G99">
        <f>IFERROR(VLOOKUP(C99,locs_minimized!A:B,2,0),F99)</f>
        <v>54</v>
      </c>
      <c r="I99">
        <f t="shared" si="3"/>
        <v>-3</v>
      </c>
    </row>
    <row r="100" spans="1:9" x14ac:dyDescent="0.45">
      <c r="A100" t="s">
        <v>100</v>
      </c>
      <c r="B100" t="s">
        <v>222</v>
      </c>
      <c r="C100" t="str">
        <f t="shared" si="2"/>
        <v>task_id_790_1_llm_simplified.dfy</v>
      </c>
      <c r="D100">
        <f>VLOOKUP(A100,locs_manual_and_stripped!A:B,2,0)</f>
        <v>28</v>
      </c>
      <c r="E100">
        <f>VLOOKUP(A100,locs_manual_and_stripped!A:C,3,0)</f>
        <v>26</v>
      </c>
      <c r="F100">
        <f>VLOOKUP(B100,locs_llm!A:B,2,0)</f>
        <v>28</v>
      </c>
      <c r="G100">
        <f>IFERROR(VLOOKUP(C100,locs_minimized!A:B,2,0),F100)</f>
        <v>28</v>
      </c>
      <c r="I100">
        <f t="shared" si="3"/>
        <v>0</v>
      </c>
    </row>
    <row r="101" spans="1:9" x14ac:dyDescent="0.45">
      <c r="A101" t="s">
        <v>101</v>
      </c>
      <c r="B101" t="s">
        <v>223</v>
      </c>
      <c r="C101" t="str">
        <f t="shared" si="2"/>
        <v>task_id_793_5_llm_simplified.dfy</v>
      </c>
      <c r="D101">
        <f>VLOOKUP(A101,locs_manual_and_stripped!A:B,2,0)</f>
        <v>30</v>
      </c>
      <c r="E101">
        <f>VLOOKUP(A101,locs_manual_and_stripped!A:C,3,0)</f>
        <v>23</v>
      </c>
      <c r="F101">
        <f>VLOOKUP(B101,locs_llm!A:B,2,0)</f>
        <v>43</v>
      </c>
      <c r="G101">
        <f>IFERROR(VLOOKUP(C101,locs_minimized!A:B,2,0),F101)</f>
        <v>31</v>
      </c>
      <c r="I101">
        <f t="shared" si="3"/>
        <v>1</v>
      </c>
    </row>
    <row r="102" spans="1:9" x14ac:dyDescent="0.45">
      <c r="A102" t="s">
        <v>102</v>
      </c>
      <c r="B102" t="s">
        <v>224</v>
      </c>
      <c r="C102" t="str">
        <f t="shared" si="2"/>
        <v>task_id_798_2_llm_simplified.dfy</v>
      </c>
      <c r="D102">
        <f>VLOOKUP(A102,locs_manual_and_stripped!A:B,2,0)</f>
        <v>35</v>
      </c>
      <c r="E102">
        <f>VLOOKUP(A102,locs_manual_and_stripped!A:C,3,0)</f>
        <v>26</v>
      </c>
      <c r="F102">
        <f>VLOOKUP(B102,locs_llm!A:B,2,0)</f>
        <v>40</v>
      </c>
      <c r="G102">
        <f>IFERROR(VLOOKUP(C102,locs_minimized!A:B,2,0),F102)</f>
        <v>36</v>
      </c>
      <c r="I102">
        <f t="shared" si="3"/>
        <v>1</v>
      </c>
    </row>
    <row r="103" spans="1:9" x14ac:dyDescent="0.45">
      <c r="A103" t="s">
        <v>103</v>
      </c>
      <c r="B103" t="s">
        <v>225</v>
      </c>
      <c r="C103" t="str">
        <f t="shared" si="2"/>
        <v>task_id_8_1_llm_simplified.dfy</v>
      </c>
      <c r="D103">
        <f>VLOOKUP(A103,locs_manual_and_stripped!A:B,2,0)</f>
        <v>22</v>
      </c>
      <c r="E103">
        <f>VLOOKUP(A103,locs_manual_and_stripped!A:C,3,0)</f>
        <v>19</v>
      </c>
      <c r="F103">
        <f>VLOOKUP(B103,locs_llm!A:B,2,0)</f>
        <v>23</v>
      </c>
      <c r="G103">
        <f>IFERROR(VLOOKUP(C103,locs_minimized!A:B,2,0),F103)</f>
        <v>22</v>
      </c>
      <c r="I103">
        <f t="shared" si="3"/>
        <v>0</v>
      </c>
    </row>
    <row r="104" spans="1:9" x14ac:dyDescent="0.45">
      <c r="A104" t="s">
        <v>104</v>
      </c>
      <c r="B104" t="s">
        <v>226</v>
      </c>
      <c r="C104" t="str">
        <f t="shared" si="2"/>
        <v>task_id_803_6_llm_simplified.dfy</v>
      </c>
      <c r="D104">
        <f>VLOOKUP(A104,locs_manual_and_stripped!A:B,2,0)</f>
        <v>30</v>
      </c>
      <c r="E104">
        <f>VLOOKUP(A104,locs_manual_and_stripped!A:C,3,0)</f>
        <v>17</v>
      </c>
      <c r="F104">
        <f>VLOOKUP(B104,locs_llm!A:B,2,0)</f>
        <v>150</v>
      </c>
      <c r="G104">
        <f>IFERROR(VLOOKUP(C104,locs_minimized!A:B,2,0),F104)</f>
        <v>44</v>
      </c>
      <c r="I104">
        <f t="shared" si="3"/>
        <v>14</v>
      </c>
    </row>
    <row r="105" spans="1:9" x14ac:dyDescent="0.45">
      <c r="A105" t="s">
        <v>105</v>
      </c>
      <c r="B105" t="s">
        <v>227</v>
      </c>
      <c r="C105" t="str">
        <f t="shared" si="2"/>
        <v>task_id_804_1_llm_simplified.dfy</v>
      </c>
      <c r="D105">
        <f>VLOOKUP(A105,locs_manual_and_stripped!A:B,2,0)</f>
        <v>29</v>
      </c>
      <c r="E105">
        <f>VLOOKUP(A105,locs_manual_and_stripped!A:C,3,0)</f>
        <v>26</v>
      </c>
      <c r="F105">
        <f>VLOOKUP(B105,locs_llm!A:B,2,0)</f>
        <v>29</v>
      </c>
      <c r="G105">
        <f>IFERROR(VLOOKUP(C105,locs_minimized!A:B,2,0),F105)</f>
        <v>29</v>
      </c>
      <c r="I105">
        <f t="shared" si="3"/>
        <v>0</v>
      </c>
    </row>
    <row r="106" spans="1:9" x14ac:dyDescent="0.45">
      <c r="A106" t="s">
        <v>106</v>
      </c>
      <c r="B106" t="s">
        <v>228</v>
      </c>
      <c r="C106" t="str">
        <f t="shared" si="2"/>
        <v>task_id_807_3_llm_simplified.dfy</v>
      </c>
      <c r="D106">
        <f>VLOOKUP(A106,locs_manual_and_stripped!A:B,2,0)</f>
        <v>35</v>
      </c>
      <c r="E106">
        <f>VLOOKUP(A106,locs_manual_and_stripped!A:C,3,0)</f>
        <v>24</v>
      </c>
      <c r="F106">
        <f>VLOOKUP(B106,locs_llm!A:B,2,0)</f>
        <v>63</v>
      </c>
      <c r="G106">
        <f>IFERROR(VLOOKUP(C106,locs_minimized!A:B,2,0),F106)</f>
        <v>25</v>
      </c>
      <c r="I106">
        <f t="shared" si="3"/>
        <v>-10</v>
      </c>
    </row>
    <row r="107" spans="1:9" x14ac:dyDescent="0.45">
      <c r="A107" t="s">
        <v>107</v>
      </c>
      <c r="B107" t="s">
        <v>229</v>
      </c>
      <c r="C107" t="str">
        <f t="shared" si="2"/>
        <v>task_id_808_1_llm_simplified.dfy</v>
      </c>
      <c r="D107">
        <f>VLOOKUP(A107,locs_manual_and_stripped!A:B,2,0)</f>
        <v>24</v>
      </c>
      <c r="E107">
        <f>VLOOKUP(A107,locs_manual_and_stripped!A:C,3,0)</f>
        <v>22</v>
      </c>
      <c r="F107">
        <f>VLOOKUP(B107,locs_llm!A:B,2,0)</f>
        <v>24</v>
      </c>
      <c r="G107">
        <f>IFERROR(VLOOKUP(C107,locs_minimized!A:B,2,0),F107)</f>
        <v>24</v>
      </c>
      <c r="I107">
        <f t="shared" si="3"/>
        <v>0</v>
      </c>
    </row>
    <row r="108" spans="1:9" x14ac:dyDescent="0.45">
      <c r="A108" t="s">
        <v>108</v>
      </c>
      <c r="B108" t="s">
        <v>230</v>
      </c>
      <c r="C108" t="str">
        <f t="shared" si="2"/>
        <v>task_id_809_2_llm_simplified.dfy</v>
      </c>
      <c r="D108">
        <f>VLOOKUP(A108,locs_manual_and_stripped!A:B,2,0)</f>
        <v>29</v>
      </c>
      <c r="E108">
        <f>VLOOKUP(A108,locs_manual_and_stripped!A:C,3,0)</f>
        <v>24</v>
      </c>
      <c r="F108">
        <f>VLOOKUP(B108,locs_llm!A:B,2,0)</f>
        <v>31</v>
      </c>
      <c r="G108">
        <f>IFERROR(VLOOKUP(C108,locs_minimized!A:B,2,0),F108)</f>
        <v>29</v>
      </c>
      <c r="I108">
        <f t="shared" si="3"/>
        <v>0</v>
      </c>
    </row>
    <row r="109" spans="1:9" x14ac:dyDescent="0.45">
      <c r="A109" t="s">
        <v>109</v>
      </c>
      <c r="B109" t="s">
        <v>231</v>
      </c>
      <c r="C109" t="str">
        <f t="shared" si="2"/>
        <v>task_id_95_2_llm_simplified.dfy</v>
      </c>
      <c r="D109">
        <f>VLOOKUP(A109,locs_manual_and_stripped!A:B,2,0)</f>
        <v>32</v>
      </c>
      <c r="E109">
        <f>VLOOKUP(A109,locs_manual_and_stripped!A:C,3,0)</f>
        <v>21</v>
      </c>
      <c r="F109">
        <f>VLOOKUP(B109,locs_llm!A:B,2,0)</f>
        <v>39</v>
      </c>
      <c r="G109">
        <f>IFERROR(VLOOKUP(C109,locs_minimized!A:B,2,0),F109)</f>
        <v>34</v>
      </c>
      <c r="I109">
        <f t="shared" si="3"/>
        <v>2</v>
      </c>
    </row>
    <row r="110" spans="1:9" x14ac:dyDescent="0.45">
      <c r="A110" t="s">
        <v>312</v>
      </c>
      <c r="D110">
        <f>SUM(D2:D109)</f>
        <v>3397</v>
      </c>
      <c r="E110">
        <f t="shared" ref="E110:G110" si="4">SUM(E2:E109)</f>
        <v>2440</v>
      </c>
      <c r="F110">
        <f t="shared" si="4"/>
        <v>5545</v>
      </c>
      <c r="G110">
        <f t="shared" si="4"/>
        <v>3751</v>
      </c>
      <c r="I110">
        <f t="shared" si="3"/>
        <v>354</v>
      </c>
    </row>
    <row r="111" spans="1:9" x14ac:dyDescent="0.45">
      <c r="A111" t="s">
        <v>313</v>
      </c>
      <c r="F111" s="5">
        <f>F110/D110-1</f>
        <v>0.63232263762143059</v>
      </c>
      <c r="G111" s="5">
        <f>G110/D110-1</f>
        <v>0.10420959670297325</v>
      </c>
    </row>
    <row r="112" spans="1:9" x14ac:dyDescent="0.45">
      <c r="G112" s="10">
        <f>1-(G110-E110)/(F110-E110)</f>
        <v>0.57777777777777772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27723-0079-42E2-98A3-5DEFBE98B9FC}">
  <dimension ref="A1:C111"/>
  <sheetViews>
    <sheetView workbookViewId="0">
      <pane ySplit="1" topLeftCell="A23" activePane="bottomLeft" state="frozen"/>
      <selection pane="bottomLeft" sqref="A1:XFD1"/>
    </sheetView>
  </sheetViews>
  <sheetFormatPr defaultRowHeight="14.25" x14ac:dyDescent="0.45"/>
  <cols>
    <col min="1" max="1" width="25.3984375" bestFit="1" customWidth="1"/>
    <col min="2" max="2" width="10.33203125" bestFit="1" customWidth="1"/>
    <col min="3" max="3" width="11" bestFit="1" customWidth="1"/>
  </cols>
  <sheetData>
    <row r="1" spans="1:3" x14ac:dyDescent="0.45">
      <c r="A1" s="1" t="s">
        <v>113</v>
      </c>
      <c r="B1" s="1" t="s">
        <v>233</v>
      </c>
      <c r="C1" s="1" t="s">
        <v>234</v>
      </c>
    </row>
    <row r="2" spans="1:3" x14ac:dyDescent="0.45">
      <c r="A2" t="s">
        <v>2</v>
      </c>
      <c r="B2">
        <v>38</v>
      </c>
      <c r="C2">
        <v>30</v>
      </c>
    </row>
    <row r="3" spans="1:3" x14ac:dyDescent="0.45">
      <c r="A3" t="s">
        <v>3</v>
      </c>
      <c r="B3">
        <v>44</v>
      </c>
      <c r="C3">
        <v>26</v>
      </c>
    </row>
    <row r="4" spans="1:3" x14ac:dyDescent="0.45">
      <c r="A4" t="s">
        <v>4</v>
      </c>
      <c r="B4">
        <v>28</v>
      </c>
      <c r="C4">
        <v>23</v>
      </c>
    </row>
    <row r="5" spans="1:3" x14ac:dyDescent="0.45">
      <c r="A5" t="s">
        <v>5</v>
      </c>
      <c r="B5">
        <v>38</v>
      </c>
      <c r="C5">
        <v>28</v>
      </c>
    </row>
    <row r="6" spans="1:3" x14ac:dyDescent="0.45">
      <c r="A6" t="s">
        <v>6</v>
      </c>
      <c r="B6">
        <v>41</v>
      </c>
      <c r="C6">
        <v>23</v>
      </c>
    </row>
    <row r="7" spans="1:3" x14ac:dyDescent="0.45">
      <c r="A7" t="s">
        <v>7</v>
      </c>
      <c r="B7">
        <v>18</v>
      </c>
      <c r="C7">
        <v>15</v>
      </c>
    </row>
    <row r="8" spans="1:3" x14ac:dyDescent="0.45">
      <c r="A8" t="s">
        <v>8</v>
      </c>
      <c r="B8">
        <v>21</v>
      </c>
      <c r="C8">
        <v>16</v>
      </c>
    </row>
    <row r="9" spans="1:3" x14ac:dyDescent="0.45">
      <c r="A9" t="s">
        <v>9</v>
      </c>
      <c r="B9">
        <v>38</v>
      </c>
      <c r="C9">
        <v>22</v>
      </c>
    </row>
    <row r="10" spans="1:3" x14ac:dyDescent="0.45">
      <c r="A10" t="s">
        <v>235</v>
      </c>
      <c r="B10">
        <v>104</v>
      </c>
      <c r="C10">
        <v>49</v>
      </c>
    </row>
    <row r="11" spans="1:3" x14ac:dyDescent="0.45">
      <c r="A11" t="s">
        <v>10</v>
      </c>
      <c r="B11">
        <v>25</v>
      </c>
      <c r="C11">
        <v>20</v>
      </c>
    </row>
    <row r="12" spans="1:3" x14ac:dyDescent="0.45">
      <c r="A12" t="s">
        <v>11</v>
      </c>
      <c r="B12">
        <v>29</v>
      </c>
      <c r="C12">
        <v>23</v>
      </c>
    </row>
    <row r="13" spans="1:3" x14ac:dyDescent="0.45">
      <c r="A13" t="s">
        <v>12</v>
      </c>
      <c r="B13">
        <v>57</v>
      </c>
      <c r="C13">
        <v>27</v>
      </c>
    </row>
    <row r="14" spans="1:3" x14ac:dyDescent="0.45">
      <c r="A14" t="s">
        <v>13</v>
      </c>
      <c r="B14">
        <v>40</v>
      </c>
      <c r="C14">
        <v>23</v>
      </c>
    </row>
    <row r="15" spans="1:3" x14ac:dyDescent="0.45">
      <c r="A15" t="s">
        <v>14</v>
      </c>
      <c r="B15">
        <v>23</v>
      </c>
      <c r="C15">
        <v>19</v>
      </c>
    </row>
    <row r="16" spans="1:3" x14ac:dyDescent="0.45">
      <c r="A16" t="s">
        <v>15</v>
      </c>
      <c r="B16">
        <v>20</v>
      </c>
      <c r="C16">
        <v>14</v>
      </c>
    </row>
    <row r="17" spans="1:3" x14ac:dyDescent="0.45">
      <c r="A17" t="s">
        <v>16</v>
      </c>
      <c r="B17">
        <v>45</v>
      </c>
      <c r="C17">
        <v>26</v>
      </c>
    </row>
    <row r="18" spans="1:3" x14ac:dyDescent="0.45">
      <c r="A18" t="s">
        <v>17</v>
      </c>
      <c r="B18">
        <v>39</v>
      </c>
      <c r="C18">
        <v>28</v>
      </c>
    </row>
    <row r="19" spans="1:3" x14ac:dyDescent="0.45">
      <c r="A19" t="s">
        <v>18</v>
      </c>
      <c r="B19">
        <v>46</v>
      </c>
      <c r="C19">
        <v>26</v>
      </c>
    </row>
    <row r="20" spans="1:3" x14ac:dyDescent="0.45">
      <c r="A20" t="s">
        <v>19</v>
      </c>
      <c r="B20">
        <v>46</v>
      </c>
      <c r="C20">
        <v>25</v>
      </c>
    </row>
    <row r="21" spans="1:3" x14ac:dyDescent="0.45">
      <c r="A21" t="s">
        <v>20</v>
      </c>
      <c r="B21">
        <v>30</v>
      </c>
      <c r="C21">
        <v>23</v>
      </c>
    </row>
    <row r="22" spans="1:3" x14ac:dyDescent="0.45">
      <c r="A22" t="s">
        <v>236</v>
      </c>
      <c r="B22">
        <v>227</v>
      </c>
      <c r="C22">
        <v>20</v>
      </c>
    </row>
    <row r="23" spans="1:3" x14ac:dyDescent="0.45">
      <c r="A23" t="s">
        <v>21</v>
      </c>
      <c r="B23">
        <v>48</v>
      </c>
      <c r="C23">
        <v>17</v>
      </c>
    </row>
    <row r="24" spans="1:3" x14ac:dyDescent="0.45">
      <c r="A24" t="s">
        <v>22</v>
      </c>
      <c r="B24">
        <v>57</v>
      </c>
      <c r="C24">
        <v>47</v>
      </c>
    </row>
    <row r="25" spans="1:3" x14ac:dyDescent="0.45">
      <c r="A25" t="s">
        <v>23</v>
      </c>
      <c r="B25">
        <v>24</v>
      </c>
      <c r="C25">
        <v>19</v>
      </c>
    </row>
    <row r="26" spans="1:3" x14ac:dyDescent="0.45">
      <c r="A26" t="s">
        <v>24</v>
      </c>
      <c r="B26">
        <v>38</v>
      </c>
      <c r="C26">
        <v>26</v>
      </c>
    </row>
    <row r="27" spans="1:3" x14ac:dyDescent="0.45">
      <c r="A27" t="s">
        <v>25</v>
      </c>
      <c r="B27">
        <v>26</v>
      </c>
      <c r="C27">
        <v>21</v>
      </c>
    </row>
    <row r="28" spans="1:3" x14ac:dyDescent="0.45">
      <c r="A28" t="s">
        <v>26</v>
      </c>
      <c r="B28">
        <v>24</v>
      </c>
      <c r="C28">
        <v>22</v>
      </c>
    </row>
    <row r="29" spans="1:3" x14ac:dyDescent="0.45">
      <c r="A29" t="s">
        <v>27</v>
      </c>
      <c r="B29">
        <v>30</v>
      </c>
      <c r="C29">
        <v>27</v>
      </c>
    </row>
    <row r="30" spans="1:3" x14ac:dyDescent="0.45">
      <c r="A30" t="s">
        <v>28</v>
      </c>
      <c r="B30">
        <v>46</v>
      </c>
      <c r="C30">
        <v>23</v>
      </c>
    </row>
    <row r="31" spans="1:3" x14ac:dyDescent="0.45">
      <c r="A31" t="s">
        <v>29</v>
      </c>
      <c r="B31">
        <v>28</v>
      </c>
      <c r="C31">
        <v>18</v>
      </c>
    </row>
    <row r="32" spans="1:3" x14ac:dyDescent="0.45">
      <c r="A32" t="s">
        <v>30</v>
      </c>
      <c r="B32">
        <v>37</v>
      </c>
      <c r="C32">
        <v>25</v>
      </c>
    </row>
    <row r="33" spans="1:3" x14ac:dyDescent="0.45">
      <c r="A33" t="s">
        <v>31</v>
      </c>
      <c r="B33">
        <v>59</v>
      </c>
      <c r="C33">
        <f>33-8</f>
        <v>25</v>
      </c>
    </row>
    <row r="34" spans="1:3" x14ac:dyDescent="0.45">
      <c r="A34" t="s">
        <v>32</v>
      </c>
      <c r="B34">
        <v>28</v>
      </c>
      <c r="C34">
        <v>21</v>
      </c>
    </row>
    <row r="35" spans="1:3" x14ac:dyDescent="0.45">
      <c r="A35" t="s">
        <v>33</v>
      </c>
      <c r="B35">
        <v>30</v>
      </c>
      <c r="C35">
        <v>16</v>
      </c>
    </row>
    <row r="36" spans="1:3" x14ac:dyDescent="0.45">
      <c r="A36" t="s">
        <v>34</v>
      </c>
      <c r="B36">
        <v>33</v>
      </c>
      <c r="C36">
        <v>24</v>
      </c>
    </row>
    <row r="37" spans="1:3" x14ac:dyDescent="0.45">
      <c r="A37" t="s">
        <v>35</v>
      </c>
      <c r="B37">
        <v>26</v>
      </c>
      <c r="C37">
        <v>21</v>
      </c>
    </row>
    <row r="38" spans="1:3" x14ac:dyDescent="0.45">
      <c r="A38" t="s">
        <v>36</v>
      </c>
      <c r="B38">
        <v>37</v>
      </c>
      <c r="C38">
        <v>21</v>
      </c>
    </row>
    <row r="39" spans="1:3" x14ac:dyDescent="0.45">
      <c r="A39" t="s">
        <v>37</v>
      </c>
      <c r="B39">
        <v>20</v>
      </c>
      <c r="C39">
        <v>14</v>
      </c>
    </row>
    <row r="40" spans="1:3" x14ac:dyDescent="0.45">
      <c r="A40" t="s">
        <v>38</v>
      </c>
      <c r="B40">
        <v>28</v>
      </c>
      <c r="C40">
        <v>22</v>
      </c>
    </row>
    <row r="41" spans="1:3" x14ac:dyDescent="0.45">
      <c r="A41" t="s">
        <v>39</v>
      </c>
      <c r="B41">
        <v>21</v>
      </c>
      <c r="C41">
        <v>18</v>
      </c>
    </row>
    <row r="42" spans="1:3" x14ac:dyDescent="0.45">
      <c r="A42" t="s">
        <v>40</v>
      </c>
      <c r="B42">
        <v>27</v>
      </c>
      <c r="C42">
        <v>22</v>
      </c>
    </row>
    <row r="43" spans="1:3" x14ac:dyDescent="0.45">
      <c r="A43" t="s">
        <v>41</v>
      </c>
      <c r="B43">
        <v>26</v>
      </c>
      <c r="C43">
        <v>22</v>
      </c>
    </row>
    <row r="44" spans="1:3" x14ac:dyDescent="0.45">
      <c r="A44" t="s">
        <v>42</v>
      </c>
      <c r="B44">
        <v>25</v>
      </c>
      <c r="C44">
        <v>22</v>
      </c>
    </row>
    <row r="45" spans="1:3" x14ac:dyDescent="0.45">
      <c r="A45" t="s">
        <v>43</v>
      </c>
      <c r="B45">
        <v>24</v>
      </c>
      <c r="C45">
        <v>19</v>
      </c>
    </row>
    <row r="46" spans="1:3" x14ac:dyDescent="0.45">
      <c r="A46" t="s">
        <v>44</v>
      </c>
      <c r="B46">
        <v>23</v>
      </c>
      <c r="C46">
        <v>18</v>
      </c>
    </row>
    <row r="47" spans="1:3" x14ac:dyDescent="0.45">
      <c r="A47" t="s">
        <v>45</v>
      </c>
      <c r="B47">
        <v>21</v>
      </c>
      <c r="C47">
        <v>19</v>
      </c>
    </row>
    <row r="48" spans="1:3" x14ac:dyDescent="0.45">
      <c r="A48" t="s">
        <v>46</v>
      </c>
      <c r="B48">
        <v>19</v>
      </c>
      <c r="C48">
        <v>14</v>
      </c>
    </row>
    <row r="49" spans="1:3" x14ac:dyDescent="0.45">
      <c r="A49" t="s">
        <v>47</v>
      </c>
      <c r="B49">
        <v>42</v>
      </c>
      <c r="C49">
        <v>23</v>
      </c>
    </row>
    <row r="50" spans="1:3" x14ac:dyDescent="0.45">
      <c r="A50" t="s">
        <v>48</v>
      </c>
      <c r="B50">
        <v>28</v>
      </c>
      <c r="C50">
        <v>25</v>
      </c>
    </row>
    <row r="51" spans="1:3" x14ac:dyDescent="0.45">
      <c r="A51" t="s">
        <v>49</v>
      </c>
      <c r="B51">
        <v>29</v>
      </c>
      <c r="C51">
        <v>24</v>
      </c>
    </row>
    <row r="52" spans="1:3" x14ac:dyDescent="0.45">
      <c r="A52" t="s">
        <v>50</v>
      </c>
      <c r="B52">
        <v>33</v>
      </c>
      <c r="C52">
        <v>24</v>
      </c>
    </row>
    <row r="53" spans="1:3" x14ac:dyDescent="0.45">
      <c r="A53" t="s">
        <v>51</v>
      </c>
      <c r="B53">
        <v>37</v>
      </c>
      <c r="C53">
        <v>28</v>
      </c>
    </row>
    <row r="54" spans="1:3" x14ac:dyDescent="0.45">
      <c r="A54" t="s">
        <v>52</v>
      </c>
      <c r="B54">
        <v>20</v>
      </c>
      <c r="C54">
        <v>17</v>
      </c>
    </row>
    <row r="55" spans="1:3" x14ac:dyDescent="0.45">
      <c r="A55" t="s">
        <v>53</v>
      </c>
      <c r="B55">
        <v>30</v>
      </c>
      <c r="C55">
        <v>21</v>
      </c>
    </row>
    <row r="56" spans="1:3" x14ac:dyDescent="0.45">
      <c r="A56" t="s">
        <v>54</v>
      </c>
      <c r="B56">
        <v>19</v>
      </c>
      <c r="C56">
        <v>14</v>
      </c>
    </row>
    <row r="57" spans="1:3" x14ac:dyDescent="0.45">
      <c r="A57" t="s">
        <v>55</v>
      </c>
      <c r="B57">
        <v>26</v>
      </c>
      <c r="C57">
        <v>19</v>
      </c>
    </row>
    <row r="58" spans="1:3" x14ac:dyDescent="0.45">
      <c r="A58" t="s">
        <v>56</v>
      </c>
      <c r="B58">
        <v>23</v>
      </c>
      <c r="C58">
        <v>21</v>
      </c>
    </row>
    <row r="59" spans="1:3" x14ac:dyDescent="0.45">
      <c r="A59" t="s">
        <v>57</v>
      </c>
      <c r="B59">
        <v>26</v>
      </c>
      <c r="C59">
        <v>21</v>
      </c>
    </row>
    <row r="60" spans="1:3" x14ac:dyDescent="0.45">
      <c r="A60" t="s">
        <v>58</v>
      </c>
      <c r="B60">
        <v>23</v>
      </c>
      <c r="C60">
        <v>18</v>
      </c>
    </row>
    <row r="61" spans="1:3" x14ac:dyDescent="0.45">
      <c r="A61" t="s">
        <v>59</v>
      </c>
      <c r="B61">
        <v>34</v>
      </c>
      <c r="C61">
        <v>30</v>
      </c>
    </row>
    <row r="62" spans="1:3" x14ac:dyDescent="0.45">
      <c r="A62" t="s">
        <v>60</v>
      </c>
      <c r="B62">
        <v>26</v>
      </c>
      <c r="C62">
        <v>21</v>
      </c>
    </row>
    <row r="63" spans="1:3" x14ac:dyDescent="0.45">
      <c r="A63" t="s">
        <v>61</v>
      </c>
      <c r="B63">
        <v>54</v>
      </c>
      <c r="C63">
        <v>26</v>
      </c>
    </row>
    <row r="64" spans="1:3" x14ac:dyDescent="0.45">
      <c r="A64" t="s">
        <v>62</v>
      </c>
      <c r="B64">
        <v>27</v>
      </c>
      <c r="C64">
        <v>22</v>
      </c>
    </row>
    <row r="65" spans="1:3" x14ac:dyDescent="0.45">
      <c r="A65" t="s">
        <v>63</v>
      </c>
      <c r="B65">
        <v>43</v>
      </c>
      <c r="C65">
        <v>36</v>
      </c>
    </row>
    <row r="66" spans="1:3" x14ac:dyDescent="0.45">
      <c r="A66" t="s">
        <v>64</v>
      </c>
      <c r="B66">
        <v>24</v>
      </c>
      <c r="C66">
        <v>19</v>
      </c>
    </row>
    <row r="67" spans="1:3" x14ac:dyDescent="0.45">
      <c r="A67" t="s">
        <v>65</v>
      </c>
      <c r="B67">
        <v>28</v>
      </c>
      <c r="C67">
        <v>22</v>
      </c>
    </row>
    <row r="68" spans="1:3" x14ac:dyDescent="0.45">
      <c r="A68" t="s">
        <v>66</v>
      </c>
      <c r="B68">
        <v>23</v>
      </c>
      <c r="C68">
        <v>20</v>
      </c>
    </row>
    <row r="69" spans="1:3" x14ac:dyDescent="0.45">
      <c r="A69" t="s">
        <v>67</v>
      </c>
      <c r="B69">
        <v>37</v>
      </c>
      <c r="C69">
        <v>18</v>
      </c>
    </row>
    <row r="70" spans="1:3" x14ac:dyDescent="0.45">
      <c r="A70" t="s">
        <v>68</v>
      </c>
      <c r="B70">
        <v>56</v>
      </c>
      <c r="C70">
        <v>20</v>
      </c>
    </row>
    <row r="71" spans="1:3" x14ac:dyDescent="0.45">
      <c r="A71" t="s">
        <v>69</v>
      </c>
      <c r="B71">
        <v>34</v>
      </c>
      <c r="C71">
        <v>27</v>
      </c>
    </row>
    <row r="72" spans="1:3" x14ac:dyDescent="0.45">
      <c r="A72" t="s">
        <v>70</v>
      </c>
      <c r="B72">
        <v>23</v>
      </c>
      <c r="C72">
        <v>15</v>
      </c>
    </row>
    <row r="73" spans="1:3" x14ac:dyDescent="0.45">
      <c r="A73" t="s">
        <v>71</v>
      </c>
      <c r="B73">
        <v>49</v>
      </c>
      <c r="C73">
        <v>42</v>
      </c>
    </row>
    <row r="74" spans="1:3" x14ac:dyDescent="0.45">
      <c r="A74" t="s">
        <v>72</v>
      </c>
      <c r="B74">
        <v>15</v>
      </c>
      <c r="C74">
        <v>13</v>
      </c>
    </row>
    <row r="75" spans="1:3" x14ac:dyDescent="0.45">
      <c r="A75" t="s">
        <v>73</v>
      </c>
      <c r="B75">
        <v>48</v>
      </c>
      <c r="C75">
        <v>37</v>
      </c>
    </row>
    <row r="76" spans="1:3" x14ac:dyDescent="0.45">
      <c r="A76" t="s">
        <v>74</v>
      </c>
      <c r="B76">
        <v>21</v>
      </c>
      <c r="C76">
        <v>17</v>
      </c>
    </row>
    <row r="77" spans="1:3" x14ac:dyDescent="0.45">
      <c r="A77" t="s">
        <v>75</v>
      </c>
      <c r="B77">
        <v>31</v>
      </c>
      <c r="C77">
        <v>25</v>
      </c>
    </row>
    <row r="78" spans="1:3" x14ac:dyDescent="0.45">
      <c r="A78" t="s">
        <v>76</v>
      </c>
      <c r="B78">
        <v>22</v>
      </c>
      <c r="C78">
        <v>18</v>
      </c>
    </row>
    <row r="79" spans="1:3" x14ac:dyDescent="0.45">
      <c r="A79" t="s">
        <v>77</v>
      </c>
      <c r="B79">
        <v>26</v>
      </c>
      <c r="C79">
        <v>21</v>
      </c>
    </row>
    <row r="80" spans="1:3" x14ac:dyDescent="0.45">
      <c r="A80" t="s">
        <v>78</v>
      </c>
      <c r="B80">
        <v>24</v>
      </c>
      <c r="C80">
        <v>18</v>
      </c>
    </row>
    <row r="81" spans="1:3" x14ac:dyDescent="0.45">
      <c r="A81" t="s">
        <v>79</v>
      </c>
      <c r="B81">
        <v>30</v>
      </c>
      <c r="C81">
        <v>21</v>
      </c>
    </row>
    <row r="82" spans="1:3" x14ac:dyDescent="0.45">
      <c r="A82" t="s">
        <v>80</v>
      </c>
      <c r="B82">
        <v>25</v>
      </c>
      <c r="C82">
        <v>20</v>
      </c>
    </row>
    <row r="83" spans="1:3" x14ac:dyDescent="0.45">
      <c r="A83" t="s">
        <v>81</v>
      </c>
      <c r="B83">
        <v>22</v>
      </c>
      <c r="C83">
        <v>17</v>
      </c>
    </row>
    <row r="84" spans="1:3" x14ac:dyDescent="0.45">
      <c r="A84" t="s">
        <v>82</v>
      </c>
      <c r="B84">
        <v>36</v>
      </c>
      <c r="C84">
        <v>24</v>
      </c>
    </row>
    <row r="85" spans="1:3" x14ac:dyDescent="0.45">
      <c r="A85" t="s">
        <v>83</v>
      </c>
      <c r="B85">
        <v>49</v>
      </c>
      <c r="C85">
        <v>30</v>
      </c>
    </row>
    <row r="86" spans="1:3" x14ac:dyDescent="0.45">
      <c r="A86" t="s">
        <v>84</v>
      </c>
      <c r="B86">
        <v>48</v>
      </c>
      <c r="C86">
        <v>22</v>
      </c>
    </row>
    <row r="87" spans="1:3" x14ac:dyDescent="0.45">
      <c r="A87" t="s">
        <v>85</v>
      </c>
      <c r="B87">
        <v>31</v>
      </c>
      <c r="C87">
        <v>25</v>
      </c>
    </row>
    <row r="88" spans="1:3" x14ac:dyDescent="0.45">
      <c r="A88" t="s">
        <v>86</v>
      </c>
      <c r="B88">
        <v>27</v>
      </c>
      <c r="C88">
        <v>25</v>
      </c>
    </row>
    <row r="89" spans="1:3" x14ac:dyDescent="0.45">
      <c r="A89" t="s">
        <v>87</v>
      </c>
      <c r="B89">
        <v>28</v>
      </c>
      <c r="C89">
        <v>25</v>
      </c>
    </row>
    <row r="90" spans="1:3" x14ac:dyDescent="0.45">
      <c r="A90" t="s">
        <v>88</v>
      </c>
      <c r="B90">
        <v>23</v>
      </c>
      <c r="C90">
        <v>18</v>
      </c>
    </row>
    <row r="91" spans="1:3" x14ac:dyDescent="0.45">
      <c r="A91" t="s">
        <v>89</v>
      </c>
      <c r="B91">
        <v>24</v>
      </c>
      <c r="C91">
        <v>19</v>
      </c>
    </row>
    <row r="92" spans="1:3" x14ac:dyDescent="0.45">
      <c r="A92" t="s">
        <v>90</v>
      </c>
      <c r="B92">
        <v>28</v>
      </c>
      <c r="C92">
        <v>23</v>
      </c>
    </row>
    <row r="93" spans="1:3" x14ac:dyDescent="0.45">
      <c r="A93" t="s">
        <v>91</v>
      </c>
      <c r="B93">
        <v>24</v>
      </c>
      <c r="C93">
        <v>21</v>
      </c>
    </row>
    <row r="94" spans="1:3" x14ac:dyDescent="0.45">
      <c r="A94" t="s">
        <v>92</v>
      </c>
      <c r="B94">
        <v>22</v>
      </c>
      <c r="C94">
        <v>18</v>
      </c>
    </row>
    <row r="95" spans="1:3" x14ac:dyDescent="0.45">
      <c r="A95" t="s">
        <v>93</v>
      </c>
      <c r="B95">
        <v>31</v>
      </c>
      <c r="C95">
        <v>28</v>
      </c>
    </row>
    <row r="96" spans="1:3" x14ac:dyDescent="0.45">
      <c r="A96" t="s">
        <v>94</v>
      </c>
      <c r="B96">
        <v>38</v>
      </c>
      <c r="C96">
        <v>28</v>
      </c>
    </row>
    <row r="97" spans="1:3" x14ac:dyDescent="0.45">
      <c r="A97" t="s">
        <v>95</v>
      </c>
      <c r="B97">
        <v>28</v>
      </c>
      <c r="C97">
        <v>25</v>
      </c>
    </row>
    <row r="98" spans="1:3" x14ac:dyDescent="0.45">
      <c r="A98" t="s">
        <v>96</v>
      </c>
      <c r="B98">
        <v>33</v>
      </c>
      <c r="C98">
        <v>24</v>
      </c>
    </row>
    <row r="99" spans="1:3" x14ac:dyDescent="0.45">
      <c r="A99" t="s">
        <v>97</v>
      </c>
      <c r="B99">
        <v>23</v>
      </c>
      <c r="C99">
        <v>20</v>
      </c>
    </row>
    <row r="100" spans="1:3" x14ac:dyDescent="0.45">
      <c r="A100" t="s">
        <v>98</v>
      </c>
      <c r="B100">
        <v>24</v>
      </c>
      <c r="C100">
        <v>21</v>
      </c>
    </row>
    <row r="101" spans="1:3" x14ac:dyDescent="0.45">
      <c r="A101" t="s">
        <v>99</v>
      </c>
      <c r="B101">
        <v>57</v>
      </c>
      <c r="C101">
        <v>36</v>
      </c>
    </row>
    <row r="102" spans="1:3" x14ac:dyDescent="0.45">
      <c r="A102" t="s">
        <v>100</v>
      </c>
      <c r="B102">
        <v>28</v>
      </c>
      <c r="C102">
        <v>26</v>
      </c>
    </row>
    <row r="103" spans="1:3" x14ac:dyDescent="0.45">
      <c r="A103" t="s">
        <v>101</v>
      </c>
      <c r="B103">
        <v>30</v>
      </c>
      <c r="C103">
        <v>23</v>
      </c>
    </row>
    <row r="104" spans="1:3" x14ac:dyDescent="0.45">
      <c r="A104" t="s">
        <v>102</v>
      </c>
      <c r="B104">
        <v>35</v>
      </c>
      <c r="C104">
        <v>26</v>
      </c>
    </row>
    <row r="105" spans="1:3" x14ac:dyDescent="0.45">
      <c r="A105" t="s">
        <v>103</v>
      </c>
      <c r="B105">
        <v>22</v>
      </c>
      <c r="C105">
        <v>19</v>
      </c>
    </row>
    <row r="106" spans="1:3" x14ac:dyDescent="0.45">
      <c r="A106" t="s">
        <v>104</v>
      </c>
      <c r="B106">
        <v>30</v>
      </c>
      <c r="C106">
        <v>17</v>
      </c>
    </row>
    <row r="107" spans="1:3" x14ac:dyDescent="0.45">
      <c r="A107" t="s">
        <v>105</v>
      </c>
      <c r="B107">
        <v>29</v>
      </c>
      <c r="C107">
        <v>26</v>
      </c>
    </row>
    <row r="108" spans="1:3" x14ac:dyDescent="0.45">
      <c r="A108" t="s">
        <v>106</v>
      </c>
      <c r="B108">
        <v>35</v>
      </c>
      <c r="C108">
        <v>24</v>
      </c>
    </row>
    <row r="109" spans="1:3" x14ac:dyDescent="0.45">
      <c r="A109" t="s">
        <v>107</v>
      </c>
      <c r="B109">
        <v>24</v>
      </c>
      <c r="C109">
        <v>22</v>
      </c>
    </row>
    <row r="110" spans="1:3" x14ac:dyDescent="0.45">
      <c r="A110" t="s">
        <v>108</v>
      </c>
      <c r="B110">
        <v>29</v>
      </c>
      <c r="C110">
        <v>24</v>
      </c>
    </row>
    <row r="111" spans="1:3" x14ac:dyDescent="0.45">
      <c r="A111" t="s">
        <v>109</v>
      </c>
      <c r="B111">
        <v>32</v>
      </c>
      <c r="C111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CA128-A8F6-4C5E-AFB9-164341E81421}">
  <dimension ref="A1:B109"/>
  <sheetViews>
    <sheetView workbookViewId="0">
      <pane ySplit="1" topLeftCell="A17" activePane="bottomLeft" state="frozen"/>
      <selection pane="bottomLeft" activeCell="I43" sqref="I43"/>
    </sheetView>
  </sheetViews>
  <sheetFormatPr defaultRowHeight="14.25" x14ac:dyDescent="0.45"/>
  <cols>
    <col min="1" max="1" width="24" bestFit="1" customWidth="1"/>
  </cols>
  <sheetData>
    <row r="1" spans="1:2" x14ac:dyDescent="0.45">
      <c r="A1" s="1" t="s">
        <v>113</v>
      </c>
      <c r="B1" s="1" t="s">
        <v>319</v>
      </c>
    </row>
    <row r="2" spans="1:2" x14ac:dyDescent="0.45">
      <c r="A2" t="s">
        <v>125</v>
      </c>
      <c r="B2">
        <v>44</v>
      </c>
    </row>
    <row r="3" spans="1:2" x14ac:dyDescent="0.45">
      <c r="A3" t="s">
        <v>126</v>
      </c>
      <c r="B3">
        <v>93</v>
      </c>
    </row>
    <row r="4" spans="1:2" x14ac:dyDescent="0.45">
      <c r="A4" t="s">
        <v>127</v>
      </c>
      <c r="B4">
        <v>30</v>
      </c>
    </row>
    <row r="5" spans="1:2" x14ac:dyDescent="0.45">
      <c r="A5" t="s">
        <v>128</v>
      </c>
      <c r="B5">
        <v>70</v>
      </c>
    </row>
    <row r="6" spans="1:2" x14ac:dyDescent="0.45">
      <c r="A6" t="s">
        <v>129</v>
      </c>
      <c r="B6">
        <v>36</v>
      </c>
    </row>
    <row r="7" spans="1:2" x14ac:dyDescent="0.45">
      <c r="A7" t="s">
        <v>130</v>
      </c>
      <c r="B7">
        <v>19</v>
      </c>
    </row>
    <row r="8" spans="1:2" x14ac:dyDescent="0.45">
      <c r="A8" t="s">
        <v>131</v>
      </c>
      <c r="B8">
        <v>21</v>
      </c>
    </row>
    <row r="9" spans="1:2" x14ac:dyDescent="0.45">
      <c r="A9" t="s">
        <v>132</v>
      </c>
      <c r="B9">
        <v>71</v>
      </c>
    </row>
    <row r="10" spans="1:2" x14ac:dyDescent="0.45">
      <c r="A10" t="s">
        <v>133</v>
      </c>
      <c r="B10">
        <v>29</v>
      </c>
    </row>
    <row r="11" spans="1:2" x14ac:dyDescent="0.45">
      <c r="A11" t="s">
        <v>134</v>
      </c>
      <c r="B11">
        <v>28</v>
      </c>
    </row>
    <row r="12" spans="1:2" x14ac:dyDescent="0.45">
      <c r="A12" t="s">
        <v>135</v>
      </c>
      <c r="B12">
        <v>94</v>
      </c>
    </row>
    <row r="13" spans="1:2" x14ac:dyDescent="0.45">
      <c r="A13" t="s">
        <v>136</v>
      </c>
      <c r="B13">
        <v>78</v>
      </c>
    </row>
    <row r="14" spans="1:2" x14ac:dyDescent="0.45">
      <c r="A14" t="s">
        <v>137</v>
      </c>
      <c r="B14">
        <v>30</v>
      </c>
    </row>
    <row r="15" spans="1:2" x14ac:dyDescent="0.45">
      <c r="A15" t="s">
        <v>138</v>
      </c>
      <c r="B15">
        <v>26</v>
      </c>
    </row>
    <row r="16" spans="1:2" x14ac:dyDescent="0.45">
      <c r="A16" t="s">
        <v>139</v>
      </c>
      <c r="B16">
        <v>153</v>
      </c>
    </row>
    <row r="17" spans="1:2" x14ac:dyDescent="0.45">
      <c r="A17" t="s">
        <v>140</v>
      </c>
      <c r="B17">
        <v>113</v>
      </c>
    </row>
    <row r="18" spans="1:2" x14ac:dyDescent="0.45">
      <c r="A18" t="s">
        <v>141</v>
      </c>
      <c r="B18">
        <v>260</v>
      </c>
    </row>
    <row r="19" spans="1:2" x14ac:dyDescent="0.45">
      <c r="A19" t="s">
        <v>142</v>
      </c>
      <c r="B19">
        <v>98</v>
      </c>
    </row>
    <row r="20" spans="1:2" x14ac:dyDescent="0.45">
      <c r="A20" t="s">
        <v>143</v>
      </c>
      <c r="B20">
        <v>40</v>
      </c>
    </row>
    <row r="21" spans="1:2" x14ac:dyDescent="0.45">
      <c r="A21" t="s">
        <v>316</v>
      </c>
      <c r="B21">
        <v>232</v>
      </c>
    </row>
    <row r="22" spans="1:2" x14ac:dyDescent="0.45">
      <c r="A22" t="s">
        <v>144</v>
      </c>
      <c r="B22">
        <v>110</v>
      </c>
    </row>
    <row r="23" spans="1:2" x14ac:dyDescent="0.45">
      <c r="A23" t="s">
        <v>145</v>
      </c>
      <c r="B23">
        <v>25</v>
      </c>
    </row>
    <row r="24" spans="1:2" x14ac:dyDescent="0.45">
      <c r="A24" t="s">
        <v>146</v>
      </c>
      <c r="B24">
        <v>93</v>
      </c>
    </row>
    <row r="25" spans="1:2" x14ac:dyDescent="0.45">
      <c r="A25" t="s">
        <v>147</v>
      </c>
      <c r="B25">
        <v>33</v>
      </c>
    </row>
    <row r="26" spans="1:2" x14ac:dyDescent="0.45">
      <c r="A26" t="s">
        <v>148</v>
      </c>
      <c r="B26">
        <v>24</v>
      </c>
    </row>
    <row r="27" spans="1:2" x14ac:dyDescent="0.45">
      <c r="A27" t="s">
        <v>149</v>
      </c>
      <c r="B27">
        <v>36</v>
      </c>
    </row>
    <row r="28" spans="1:2" x14ac:dyDescent="0.45">
      <c r="A28" t="s">
        <v>150</v>
      </c>
      <c r="B28">
        <v>100</v>
      </c>
    </row>
    <row r="29" spans="1:2" x14ac:dyDescent="0.45">
      <c r="A29" t="s">
        <v>151</v>
      </c>
      <c r="B29">
        <v>29</v>
      </c>
    </row>
    <row r="30" spans="1:2" x14ac:dyDescent="0.45">
      <c r="A30" t="s">
        <v>152</v>
      </c>
      <c r="B30">
        <v>50</v>
      </c>
    </row>
    <row r="31" spans="1:2" x14ac:dyDescent="0.45">
      <c r="A31" t="s">
        <v>153</v>
      </c>
      <c r="B31">
        <v>177</v>
      </c>
    </row>
    <row r="32" spans="1:2" x14ac:dyDescent="0.45">
      <c r="A32" t="s">
        <v>154</v>
      </c>
      <c r="B32">
        <v>29</v>
      </c>
    </row>
    <row r="33" spans="1:2" x14ac:dyDescent="0.45">
      <c r="A33" t="s">
        <v>155</v>
      </c>
      <c r="B33">
        <v>198</v>
      </c>
    </row>
    <row r="34" spans="1:2" x14ac:dyDescent="0.45">
      <c r="A34" t="s">
        <v>157</v>
      </c>
      <c r="B34">
        <v>25</v>
      </c>
    </row>
    <row r="35" spans="1:2" x14ac:dyDescent="0.45">
      <c r="A35" t="s">
        <v>158</v>
      </c>
      <c r="B35">
        <v>56</v>
      </c>
    </row>
    <row r="36" spans="1:2" x14ac:dyDescent="0.45">
      <c r="A36" t="s">
        <v>159</v>
      </c>
      <c r="B36">
        <v>25</v>
      </c>
    </row>
    <row r="37" spans="1:2" x14ac:dyDescent="0.45">
      <c r="A37" t="s">
        <v>160</v>
      </c>
      <c r="B37">
        <v>28</v>
      </c>
    </row>
    <row r="38" spans="1:2" x14ac:dyDescent="0.45">
      <c r="A38" t="s">
        <v>161</v>
      </c>
      <c r="B38">
        <v>27</v>
      </c>
    </row>
    <row r="39" spans="1:2" x14ac:dyDescent="0.45">
      <c r="A39" t="s">
        <v>162</v>
      </c>
      <c r="B39">
        <v>27</v>
      </c>
    </row>
    <row r="40" spans="1:2" x14ac:dyDescent="0.45">
      <c r="A40" t="s">
        <v>163</v>
      </c>
      <c r="B40">
        <v>27</v>
      </c>
    </row>
    <row r="41" spans="1:2" x14ac:dyDescent="0.45">
      <c r="A41" t="s">
        <v>164</v>
      </c>
      <c r="B41">
        <v>25</v>
      </c>
    </row>
    <row r="42" spans="1:2" x14ac:dyDescent="0.45">
      <c r="A42" t="s">
        <v>165</v>
      </c>
      <c r="B42">
        <v>43</v>
      </c>
    </row>
    <row r="43" spans="1:2" x14ac:dyDescent="0.45">
      <c r="A43" t="s">
        <v>156</v>
      </c>
      <c r="B43">
        <v>32</v>
      </c>
    </row>
    <row r="44" spans="1:2" x14ac:dyDescent="0.45">
      <c r="A44" t="s">
        <v>167</v>
      </c>
      <c r="B44">
        <v>25</v>
      </c>
    </row>
    <row r="45" spans="1:2" x14ac:dyDescent="0.45">
      <c r="A45" t="s">
        <v>168</v>
      </c>
      <c r="B45">
        <v>19</v>
      </c>
    </row>
    <row r="46" spans="1:2" x14ac:dyDescent="0.45">
      <c r="A46" t="s">
        <v>166</v>
      </c>
      <c r="B46">
        <v>30</v>
      </c>
    </row>
    <row r="47" spans="1:2" x14ac:dyDescent="0.45">
      <c r="A47" t="s">
        <v>169</v>
      </c>
      <c r="B47">
        <v>80</v>
      </c>
    </row>
    <row r="48" spans="1:2" x14ac:dyDescent="0.45">
      <c r="A48" t="s">
        <v>170</v>
      </c>
      <c r="B48">
        <v>30</v>
      </c>
    </row>
    <row r="49" spans="1:2" x14ac:dyDescent="0.45">
      <c r="A49" t="s">
        <v>171</v>
      </c>
      <c r="B49">
        <v>29</v>
      </c>
    </row>
    <row r="50" spans="1:2" x14ac:dyDescent="0.45">
      <c r="A50" t="s">
        <v>172</v>
      </c>
      <c r="B50">
        <v>51</v>
      </c>
    </row>
    <row r="51" spans="1:2" x14ac:dyDescent="0.45">
      <c r="A51" t="s">
        <v>173</v>
      </c>
      <c r="B51">
        <v>33</v>
      </c>
    </row>
    <row r="52" spans="1:2" x14ac:dyDescent="0.45">
      <c r="A52" t="s">
        <v>174</v>
      </c>
      <c r="B52">
        <v>51</v>
      </c>
    </row>
    <row r="53" spans="1:2" x14ac:dyDescent="0.45">
      <c r="A53" t="s">
        <v>175</v>
      </c>
      <c r="B53">
        <v>34</v>
      </c>
    </row>
    <row r="54" spans="1:2" x14ac:dyDescent="0.45">
      <c r="A54" t="s">
        <v>176</v>
      </c>
      <c r="B54">
        <v>19</v>
      </c>
    </row>
    <row r="55" spans="1:2" x14ac:dyDescent="0.45">
      <c r="A55" t="s">
        <v>177</v>
      </c>
      <c r="B55">
        <v>22</v>
      </c>
    </row>
    <row r="56" spans="1:2" x14ac:dyDescent="0.45">
      <c r="A56" t="s">
        <v>178</v>
      </c>
      <c r="B56">
        <v>25</v>
      </c>
    </row>
    <row r="57" spans="1:2" x14ac:dyDescent="0.45">
      <c r="A57" t="s">
        <v>179</v>
      </c>
      <c r="B57">
        <v>26</v>
      </c>
    </row>
    <row r="58" spans="1:2" x14ac:dyDescent="0.45">
      <c r="A58" t="s">
        <v>180</v>
      </c>
      <c r="B58">
        <v>23</v>
      </c>
    </row>
    <row r="59" spans="1:2" x14ac:dyDescent="0.45">
      <c r="A59" t="s">
        <v>181</v>
      </c>
      <c r="B59">
        <v>44</v>
      </c>
    </row>
    <row r="60" spans="1:2" x14ac:dyDescent="0.45">
      <c r="A60" t="s">
        <v>182</v>
      </c>
      <c r="B60">
        <v>27</v>
      </c>
    </row>
    <row r="61" spans="1:2" x14ac:dyDescent="0.45">
      <c r="A61" t="s">
        <v>183</v>
      </c>
      <c r="B61">
        <v>59</v>
      </c>
    </row>
    <row r="62" spans="1:2" x14ac:dyDescent="0.45">
      <c r="A62" t="s">
        <v>184</v>
      </c>
      <c r="B62">
        <v>26</v>
      </c>
    </row>
    <row r="63" spans="1:2" x14ac:dyDescent="0.45">
      <c r="A63" t="s">
        <v>185</v>
      </c>
      <c r="B63">
        <v>51</v>
      </c>
    </row>
    <row r="64" spans="1:2" x14ac:dyDescent="0.45">
      <c r="A64" t="s">
        <v>186</v>
      </c>
      <c r="B64">
        <v>23</v>
      </c>
    </row>
    <row r="65" spans="1:2" x14ac:dyDescent="0.45">
      <c r="A65" t="s">
        <v>187</v>
      </c>
      <c r="B65">
        <v>29</v>
      </c>
    </row>
    <row r="66" spans="1:2" x14ac:dyDescent="0.45">
      <c r="A66" t="s">
        <v>188</v>
      </c>
      <c r="B66">
        <v>46</v>
      </c>
    </row>
    <row r="67" spans="1:2" x14ac:dyDescent="0.45">
      <c r="A67" t="s">
        <v>189</v>
      </c>
      <c r="B67">
        <v>120</v>
      </c>
    </row>
    <row r="68" spans="1:2" x14ac:dyDescent="0.45">
      <c r="A68" t="s">
        <v>190</v>
      </c>
      <c r="B68">
        <v>93</v>
      </c>
    </row>
    <row r="69" spans="1:2" x14ac:dyDescent="0.45">
      <c r="A69" t="s">
        <v>191</v>
      </c>
      <c r="B69">
        <v>52</v>
      </c>
    </row>
    <row r="70" spans="1:2" x14ac:dyDescent="0.45">
      <c r="A70" t="s">
        <v>192</v>
      </c>
      <c r="B70">
        <v>27</v>
      </c>
    </row>
    <row r="71" spans="1:2" x14ac:dyDescent="0.45">
      <c r="A71" t="s">
        <v>193</v>
      </c>
      <c r="B71">
        <v>62</v>
      </c>
    </row>
    <row r="72" spans="1:2" x14ac:dyDescent="0.45">
      <c r="A72" t="s">
        <v>194</v>
      </c>
      <c r="B72">
        <v>15</v>
      </c>
    </row>
    <row r="73" spans="1:2" x14ac:dyDescent="0.45">
      <c r="A73" t="s">
        <v>195</v>
      </c>
      <c r="B73">
        <v>56</v>
      </c>
    </row>
    <row r="74" spans="1:2" x14ac:dyDescent="0.45">
      <c r="A74" t="s">
        <v>196</v>
      </c>
      <c r="B74">
        <v>21</v>
      </c>
    </row>
    <row r="75" spans="1:2" x14ac:dyDescent="0.45">
      <c r="A75" t="s">
        <v>197</v>
      </c>
      <c r="B75">
        <v>45</v>
      </c>
    </row>
    <row r="76" spans="1:2" x14ac:dyDescent="0.45">
      <c r="A76" t="s">
        <v>198</v>
      </c>
      <c r="B76">
        <v>52</v>
      </c>
    </row>
    <row r="77" spans="1:2" x14ac:dyDescent="0.45">
      <c r="A77" t="s">
        <v>199</v>
      </c>
      <c r="B77">
        <v>30</v>
      </c>
    </row>
    <row r="78" spans="1:2" x14ac:dyDescent="0.45">
      <c r="A78" t="s">
        <v>200</v>
      </c>
      <c r="B78">
        <v>24</v>
      </c>
    </row>
    <row r="79" spans="1:2" x14ac:dyDescent="0.45">
      <c r="A79" t="s">
        <v>202</v>
      </c>
      <c r="B79">
        <v>24</v>
      </c>
    </row>
    <row r="80" spans="1:2" x14ac:dyDescent="0.45">
      <c r="A80" t="s">
        <v>203</v>
      </c>
      <c r="B80">
        <v>21</v>
      </c>
    </row>
    <row r="81" spans="1:2" x14ac:dyDescent="0.45">
      <c r="A81" t="s">
        <v>204</v>
      </c>
      <c r="B81">
        <v>44</v>
      </c>
    </row>
    <row r="82" spans="1:2" x14ac:dyDescent="0.45">
      <c r="A82" t="s">
        <v>205</v>
      </c>
      <c r="B82">
        <v>45</v>
      </c>
    </row>
    <row r="83" spans="1:2" x14ac:dyDescent="0.45">
      <c r="A83" t="s">
        <v>201</v>
      </c>
      <c r="B83">
        <v>51</v>
      </c>
    </row>
    <row r="84" spans="1:2" x14ac:dyDescent="0.45">
      <c r="A84" t="s">
        <v>206</v>
      </c>
      <c r="B84">
        <v>135</v>
      </c>
    </row>
    <row r="85" spans="1:2" x14ac:dyDescent="0.45">
      <c r="A85" t="s">
        <v>207</v>
      </c>
      <c r="B85">
        <v>32</v>
      </c>
    </row>
    <row r="86" spans="1:2" x14ac:dyDescent="0.45">
      <c r="A86" t="s">
        <v>208</v>
      </c>
      <c r="B86">
        <v>27</v>
      </c>
    </row>
    <row r="87" spans="1:2" x14ac:dyDescent="0.45">
      <c r="A87" t="s">
        <v>209</v>
      </c>
      <c r="B87">
        <v>30</v>
      </c>
    </row>
    <row r="88" spans="1:2" x14ac:dyDescent="0.45">
      <c r="A88" t="s">
        <v>210</v>
      </c>
      <c r="B88">
        <v>23</v>
      </c>
    </row>
    <row r="89" spans="1:2" x14ac:dyDescent="0.45">
      <c r="A89" t="s">
        <v>211</v>
      </c>
      <c r="B89">
        <v>23</v>
      </c>
    </row>
    <row r="90" spans="1:2" x14ac:dyDescent="0.45">
      <c r="A90" t="s">
        <v>212</v>
      </c>
      <c r="B90">
        <v>49</v>
      </c>
    </row>
    <row r="91" spans="1:2" x14ac:dyDescent="0.45">
      <c r="A91" t="s">
        <v>213</v>
      </c>
      <c r="B91">
        <v>25</v>
      </c>
    </row>
    <row r="92" spans="1:2" x14ac:dyDescent="0.45">
      <c r="A92" t="s">
        <v>214</v>
      </c>
      <c r="B92">
        <v>26</v>
      </c>
    </row>
    <row r="93" spans="1:2" x14ac:dyDescent="0.45">
      <c r="A93" t="s">
        <v>215</v>
      </c>
      <c r="B93">
        <v>36</v>
      </c>
    </row>
    <row r="94" spans="1:2" x14ac:dyDescent="0.45">
      <c r="A94" t="s">
        <v>216</v>
      </c>
      <c r="B94">
        <v>95</v>
      </c>
    </row>
    <row r="95" spans="1:2" x14ac:dyDescent="0.45">
      <c r="A95" t="s">
        <v>217</v>
      </c>
      <c r="B95">
        <v>33</v>
      </c>
    </row>
    <row r="96" spans="1:2" x14ac:dyDescent="0.45">
      <c r="A96" t="s">
        <v>218</v>
      </c>
      <c r="B96">
        <v>42</v>
      </c>
    </row>
    <row r="97" spans="1:2" x14ac:dyDescent="0.45">
      <c r="A97" t="s">
        <v>219</v>
      </c>
      <c r="B97">
        <v>30</v>
      </c>
    </row>
    <row r="98" spans="1:2" x14ac:dyDescent="0.45">
      <c r="A98" t="s">
        <v>220</v>
      </c>
      <c r="B98">
        <v>33</v>
      </c>
    </row>
    <row r="99" spans="1:2" x14ac:dyDescent="0.45">
      <c r="A99" t="s">
        <v>221</v>
      </c>
      <c r="B99">
        <v>68</v>
      </c>
    </row>
    <row r="100" spans="1:2" x14ac:dyDescent="0.45">
      <c r="A100" t="s">
        <v>222</v>
      </c>
      <c r="B100">
        <v>28</v>
      </c>
    </row>
    <row r="101" spans="1:2" x14ac:dyDescent="0.45">
      <c r="A101" t="s">
        <v>223</v>
      </c>
      <c r="B101">
        <v>43</v>
      </c>
    </row>
    <row r="102" spans="1:2" x14ac:dyDescent="0.45">
      <c r="A102" t="s">
        <v>224</v>
      </c>
      <c r="B102">
        <v>40</v>
      </c>
    </row>
    <row r="103" spans="1:2" x14ac:dyDescent="0.45">
      <c r="A103" t="s">
        <v>226</v>
      </c>
      <c r="B103">
        <v>150</v>
      </c>
    </row>
    <row r="104" spans="1:2" x14ac:dyDescent="0.45">
      <c r="A104" t="s">
        <v>227</v>
      </c>
      <c r="B104">
        <v>29</v>
      </c>
    </row>
    <row r="105" spans="1:2" x14ac:dyDescent="0.45">
      <c r="A105" t="s">
        <v>228</v>
      </c>
      <c r="B105">
        <v>63</v>
      </c>
    </row>
    <row r="106" spans="1:2" x14ac:dyDescent="0.45">
      <c r="A106" t="s">
        <v>229</v>
      </c>
      <c r="B106">
        <v>24</v>
      </c>
    </row>
    <row r="107" spans="1:2" x14ac:dyDescent="0.45">
      <c r="A107" t="s">
        <v>230</v>
      </c>
      <c r="B107">
        <v>31</v>
      </c>
    </row>
    <row r="108" spans="1:2" x14ac:dyDescent="0.45">
      <c r="A108" t="s">
        <v>225</v>
      </c>
      <c r="B108">
        <v>23</v>
      </c>
    </row>
    <row r="109" spans="1:2" x14ac:dyDescent="0.45">
      <c r="A109" t="s">
        <v>231</v>
      </c>
      <c r="B109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9E5DE-7812-4896-B0F1-C7271BDE67E5}">
  <dimension ref="A1:B76"/>
  <sheetViews>
    <sheetView workbookViewId="0">
      <pane ySplit="1" topLeftCell="A2" activePane="bottomLeft" state="frozen"/>
      <selection pane="bottomLeft" activeCell="A2" sqref="A2:B76"/>
    </sheetView>
  </sheetViews>
  <sheetFormatPr defaultRowHeight="14.25" x14ac:dyDescent="0.45"/>
  <cols>
    <col min="1" max="1" width="32.6640625" bestFit="1" customWidth="1"/>
  </cols>
  <sheetData>
    <row r="1" spans="1:2" x14ac:dyDescent="0.45">
      <c r="A1" s="1" t="s">
        <v>113</v>
      </c>
      <c r="B1" s="1" t="s">
        <v>319</v>
      </c>
    </row>
    <row r="2" spans="1:2" x14ac:dyDescent="0.45">
      <c r="A2" t="s">
        <v>237</v>
      </c>
      <c r="B2">
        <v>42</v>
      </c>
    </row>
    <row r="3" spans="1:2" x14ac:dyDescent="0.45">
      <c r="A3" t="s">
        <v>238</v>
      </c>
      <c r="B3">
        <v>50</v>
      </c>
    </row>
    <row r="4" spans="1:2" x14ac:dyDescent="0.45">
      <c r="A4" t="s">
        <v>239</v>
      </c>
      <c r="B4">
        <v>38</v>
      </c>
    </row>
    <row r="5" spans="1:2" x14ac:dyDescent="0.45">
      <c r="A5" t="s">
        <v>240</v>
      </c>
      <c r="B5">
        <v>32</v>
      </c>
    </row>
    <row r="6" spans="1:2" x14ac:dyDescent="0.45">
      <c r="A6" t="s">
        <v>241</v>
      </c>
      <c r="B6">
        <v>46</v>
      </c>
    </row>
    <row r="7" spans="1:2" x14ac:dyDescent="0.45">
      <c r="A7" t="s">
        <v>320</v>
      </c>
      <c r="B7">
        <v>29</v>
      </c>
    </row>
    <row r="8" spans="1:2" x14ac:dyDescent="0.45">
      <c r="A8" t="s">
        <v>242</v>
      </c>
      <c r="B8">
        <v>68</v>
      </c>
    </row>
    <row r="9" spans="1:2" x14ac:dyDescent="0.45">
      <c r="A9" t="s">
        <v>243</v>
      </c>
      <c r="B9">
        <v>52</v>
      </c>
    </row>
    <row r="10" spans="1:2" x14ac:dyDescent="0.45">
      <c r="A10" t="s">
        <v>244</v>
      </c>
      <c r="B10">
        <v>26</v>
      </c>
    </row>
    <row r="11" spans="1:2" x14ac:dyDescent="0.45">
      <c r="A11" t="s">
        <v>245</v>
      </c>
      <c r="B11">
        <v>21</v>
      </c>
    </row>
    <row r="12" spans="1:2" x14ac:dyDescent="0.45">
      <c r="A12" t="s">
        <v>246</v>
      </c>
      <c r="B12">
        <v>64</v>
      </c>
    </row>
    <row r="13" spans="1:2" x14ac:dyDescent="0.45">
      <c r="A13" t="s">
        <v>247</v>
      </c>
      <c r="B13">
        <v>62</v>
      </c>
    </row>
    <row r="14" spans="1:2" x14ac:dyDescent="0.45">
      <c r="A14" t="s">
        <v>248</v>
      </c>
      <c r="B14">
        <v>60</v>
      </c>
    </row>
    <row r="15" spans="1:2" x14ac:dyDescent="0.45">
      <c r="A15" t="s">
        <v>249</v>
      </c>
      <c r="B15">
        <v>56</v>
      </c>
    </row>
    <row r="16" spans="1:2" x14ac:dyDescent="0.45">
      <c r="A16" t="s">
        <v>250</v>
      </c>
      <c r="B16">
        <v>32</v>
      </c>
    </row>
    <row r="17" spans="1:2" x14ac:dyDescent="0.45">
      <c r="A17" t="s">
        <v>317</v>
      </c>
      <c r="B17">
        <v>86</v>
      </c>
    </row>
    <row r="18" spans="1:2" x14ac:dyDescent="0.45">
      <c r="A18" t="s">
        <v>251</v>
      </c>
      <c r="B18">
        <v>83</v>
      </c>
    </row>
    <row r="19" spans="1:2" x14ac:dyDescent="0.45">
      <c r="A19" t="s">
        <v>252</v>
      </c>
      <c r="B19">
        <v>24</v>
      </c>
    </row>
    <row r="20" spans="1:2" x14ac:dyDescent="0.45">
      <c r="A20" t="s">
        <v>253</v>
      </c>
      <c r="B20">
        <v>51</v>
      </c>
    </row>
    <row r="21" spans="1:2" x14ac:dyDescent="0.45">
      <c r="A21" t="s">
        <v>254</v>
      </c>
      <c r="B21">
        <v>30</v>
      </c>
    </row>
    <row r="22" spans="1:2" x14ac:dyDescent="0.45">
      <c r="A22" t="s">
        <v>255</v>
      </c>
      <c r="B22">
        <v>33</v>
      </c>
    </row>
    <row r="23" spans="1:2" x14ac:dyDescent="0.45">
      <c r="A23" t="s">
        <v>256</v>
      </c>
      <c r="B23">
        <v>65</v>
      </c>
    </row>
    <row r="24" spans="1:2" x14ac:dyDescent="0.45">
      <c r="A24" t="s">
        <v>257</v>
      </c>
      <c r="B24">
        <v>27</v>
      </c>
    </row>
    <row r="25" spans="1:2" x14ac:dyDescent="0.45">
      <c r="A25" t="s">
        <v>258</v>
      </c>
      <c r="B25">
        <v>35</v>
      </c>
    </row>
    <row r="26" spans="1:2" x14ac:dyDescent="0.45">
      <c r="A26" t="s">
        <v>259</v>
      </c>
      <c r="B26">
        <v>47</v>
      </c>
    </row>
    <row r="27" spans="1:2" x14ac:dyDescent="0.45">
      <c r="A27" t="s">
        <v>260</v>
      </c>
      <c r="B27">
        <v>46</v>
      </c>
    </row>
    <row r="28" spans="1:2" x14ac:dyDescent="0.45">
      <c r="A28" t="s">
        <v>261</v>
      </c>
      <c r="B28">
        <v>33</v>
      </c>
    </row>
    <row r="29" spans="1:2" x14ac:dyDescent="0.45">
      <c r="A29" t="s">
        <v>262</v>
      </c>
      <c r="B29">
        <v>25</v>
      </c>
    </row>
    <row r="30" spans="1:2" x14ac:dyDescent="0.45">
      <c r="A30" t="s">
        <v>263</v>
      </c>
      <c r="B30">
        <v>26</v>
      </c>
    </row>
    <row r="31" spans="1:2" x14ac:dyDescent="0.45">
      <c r="A31" t="s">
        <v>264</v>
      </c>
      <c r="B31">
        <v>26</v>
      </c>
    </row>
    <row r="32" spans="1:2" x14ac:dyDescent="0.45">
      <c r="A32" t="s">
        <v>265</v>
      </c>
      <c r="B32">
        <v>30</v>
      </c>
    </row>
    <row r="33" spans="1:2" x14ac:dyDescent="0.45">
      <c r="A33" t="s">
        <v>266</v>
      </c>
      <c r="B33">
        <v>21</v>
      </c>
    </row>
    <row r="34" spans="1:2" x14ac:dyDescent="0.45">
      <c r="A34" t="s">
        <v>267</v>
      </c>
      <c r="B34">
        <v>27</v>
      </c>
    </row>
    <row r="35" spans="1:2" x14ac:dyDescent="0.45">
      <c r="A35" t="s">
        <v>268</v>
      </c>
      <c r="B35">
        <v>49</v>
      </c>
    </row>
    <row r="36" spans="1:2" x14ac:dyDescent="0.45">
      <c r="A36" t="s">
        <v>269</v>
      </c>
      <c r="B36">
        <v>28</v>
      </c>
    </row>
    <row r="37" spans="1:2" x14ac:dyDescent="0.45">
      <c r="A37" t="s">
        <v>270</v>
      </c>
      <c r="B37">
        <v>34</v>
      </c>
    </row>
    <row r="38" spans="1:2" x14ac:dyDescent="0.45">
      <c r="A38" t="s">
        <v>271</v>
      </c>
      <c r="B38">
        <v>20</v>
      </c>
    </row>
    <row r="39" spans="1:2" x14ac:dyDescent="0.45">
      <c r="A39" t="s">
        <v>272</v>
      </c>
      <c r="B39">
        <v>31</v>
      </c>
    </row>
    <row r="40" spans="1:2" x14ac:dyDescent="0.45">
      <c r="A40" t="s">
        <v>273</v>
      </c>
      <c r="B40">
        <v>22</v>
      </c>
    </row>
    <row r="41" spans="1:2" x14ac:dyDescent="0.45">
      <c r="A41" t="s">
        <v>274</v>
      </c>
      <c r="B41">
        <v>35</v>
      </c>
    </row>
    <row r="42" spans="1:2" x14ac:dyDescent="0.45">
      <c r="A42" t="s">
        <v>275</v>
      </c>
      <c r="B42">
        <v>49</v>
      </c>
    </row>
    <row r="43" spans="1:2" x14ac:dyDescent="0.45">
      <c r="A43" t="s">
        <v>321</v>
      </c>
      <c r="B43">
        <v>29</v>
      </c>
    </row>
    <row r="44" spans="1:2" x14ac:dyDescent="0.45">
      <c r="A44" t="s">
        <v>276</v>
      </c>
      <c r="B44">
        <v>28</v>
      </c>
    </row>
    <row r="45" spans="1:2" x14ac:dyDescent="0.45">
      <c r="A45" t="s">
        <v>277</v>
      </c>
      <c r="B45">
        <v>51</v>
      </c>
    </row>
    <row r="46" spans="1:2" x14ac:dyDescent="0.45">
      <c r="A46" t="s">
        <v>278</v>
      </c>
      <c r="B46">
        <v>63</v>
      </c>
    </row>
    <row r="47" spans="1:2" x14ac:dyDescent="0.45">
      <c r="A47" t="s">
        <v>279</v>
      </c>
      <c r="B47">
        <v>44</v>
      </c>
    </row>
    <row r="48" spans="1:2" x14ac:dyDescent="0.45">
      <c r="A48" t="s">
        <v>280</v>
      </c>
      <c r="B48">
        <v>23</v>
      </c>
    </row>
    <row r="49" spans="1:2" x14ac:dyDescent="0.45">
      <c r="A49" t="s">
        <v>281</v>
      </c>
      <c r="B49">
        <v>54</v>
      </c>
    </row>
    <row r="50" spans="1:2" x14ac:dyDescent="0.45">
      <c r="A50" t="s">
        <v>282</v>
      </c>
      <c r="B50">
        <v>48</v>
      </c>
    </row>
    <row r="51" spans="1:2" x14ac:dyDescent="0.45">
      <c r="A51" t="s">
        <v>283</v>
      </c>
      <c r="B51">
        <v>32</v>
      </c>
    </row>
    <row r="52" spans="1:2" x14ac:dyDescent="0.45">
      <c r="A52" t="s">
        <v>284</v>
      </c>
      <c r="B52">
        <v>30</v>
      </c>
    </row>
    <row r="53" spans="1:2" x14ac:dyDescent="0.45">
      <c r="A53" t="s">
        <v>285</v>
      </c>
      <c r="B53">
        <v>28</v>
      </c>
    </row>
    <row r="54" spans="1:2" x14ac:dyDescent="0.45">
      <c r="A54" t="s">
        <v>286</v>
      </c>
      <c r="B54">
        <v>23</v>
      </c>
    </row>
    <row r="55" spans="1:2" x14ac:dyDescent="0.45">
      <c r="A55" t="s">
        <v>287</v>
      </c>
      <c r="B55">
        <v>32</v>
      </c>
    </row>
    <row r="56" spans="1:2" x14ac:dyDescent="0.45">
      <c r="A56" t="s">
        <v>288</v>
      </c>
      <c r="B56">
        <v>40</v>
      </c>
    </row>
    <row r="57" spans="1:2" x14ac:dyDescent="0.45">
      <c r="A57" t="s">
        <v>289</v>
      </c>
      <c r="B57">
        <v>29</v>
      </c>
    </row>
    <row r="58" spans="1:2" x14ac:dyDescent="0.45">
      <c r="A58" t="s">
        <v>290</v>
      </c>
      <c r="B58">
        <v>94</v>
      </c>
    </row>
    <row r="59" spans="1:2" x14ac:dyDescent="0.45">
      <c r="A59" t="s">
        <v>291</v>
      </c>
      <c r="B59">
        <v>28</v>
      </c>
    </row>
    <row r="60" spans="1:2" x14ac:dyDescent="0.45">
      <c r="A60" t="s">
        <v>292</v>
      </c>
      <c r="B60">
        <v>35</v>
      </c>
    </row>
    <row r="61" spans="1:2" x14ac:dyDescent="0.45">
      <c r="A61" t="s">
        <v>293</v>
      </c>
      <c r="B61">
        <v>24</v>
      </c>
    </row>
    <row r="62" spans="1:2" x14ac:dyDescent="0.45">
      <c r="A62" t="s">
        <v>294</v>
      </c>
      <c r="B62">
        <v>22</v>
      </c>
    </row>
    <row r="63" spans="1:2" x14ac:dyDescent="0.45">
      <c r="A63" t="s">
        <v>295</v>
      </c>
      <c r="B63">
        <v>31</v>
      </c>
    </row>
    <row r="64" spans="1:2" x14ac:dyDescent="0.45">
      <c r="A64" t="s">
        <v>296</v>
      </c>
      <c r="B64">
        <v>62</v>
      </c>
    </row>
    <row r="65" spans="1:2" x14ac:dyDescent="0.45">
      <c r="A65" t="s">
        <v>297</v>
      </c>
      <c r="B65">
        <v>28</v>
      </c>
    </row>
    <row r="66" spans="1:2" x14ac:dyDescent="0.45">
      <c r="A66" t="s">
        <v>298</v>
      </c>
      <c r="B66">
        <v>35</v>
      </c>
    </row>
    <row r="67" spans="1:2" x14ac:dyDescent="0.45">
      <c r="A67" t="s">
        <v>322</v>
      </c>
      <c r="B67">
        <v>30</v>
      </c>
    </row>
    <row r="68" spans="1:2" x14ac:dyDescent="0.45">
      <c r="A68" t="s">
        <v>299</v>
      </c>
      <c r="B68">
        <v>24</v>
      </c>
    </row>
    <row r="69" spans="1:2" x14ac:dyDescent="0.45">
      <c r="A69" t="s">
        <v>300</v>
      </c>
      <c r="B69">
        <v>54</v>
      </c>
    </row>
    <row r="70" spans="1:2" x14ac:dyDescent="0.45">
      <c r="A70" t="s">
        <v>301</v>
      </c>
      <c r="B70">
        <v>31</v>
      </c>
    </row>
    <row r="71" spans="1:2" x14ac:dyDescent="0.45">
      <c r="A71" t="s">
        <v>302</v>
      </c>
      <c r="B71">
        <v>36</v>
      </c>
    </row>
    <row r="72" spans="1:2" x14ac:dyDescent="0.45">
      <c r="A72" t="s">
        <v>303</v>
      </c>
      <c r="B72">
        <v>44</v>
      </c>
    </row>
    <row r="73" spans="1:2" x14ac:dyDescent="0.45">
      <c r="A73" t="s">
        <v>304</v>
      </c>
      <c r="B73">
        <v>25</v>
      </c>
    </row>
    <row r="74" spans="1:2" x14ac:dyDescent="0.45">
      <c r="A74" t="s">
        <v>305</v>
      </c>
      <c r="B74">
        <v>29</v>
      </c>
    </row>
    <row r="75" spans="1:2" x14ac:dyDescent="0.45">
      <c r="A75" t="s">
        <v>306</v>
      </c>
      <c r="B75">
        <v>22</v>
      </c>
    </row>
    <row r="76" spans="1:2" x14ac:dyDescent="0.45">
      <c r="A76" t="s">
        <v>307</v>
      </c>
      <c r="B76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comparison_with_manual_solution</vt:lpstr>
      <vt:lpstr>locs</vt:lpstr>
      <vt:lpstr>locs_manual_and_stripped</vt:lpstr>
      <vt:lpstr>locs_llm</vt:lpstr>
      <vt:lpstr>locs_minimized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Pascoal Faria</dc:creator>
  <cp:lastModifiedBy>João Pascoal Faria</cp:lastModifiedBy>
  <dcterms:created xsi:type="dcterms:W3CDTF">2025-12-27T18:33:02Z</dcterms:created>
  <dcterms:modified xsi:type="dcterms:W3CDTF">2026-01-11T16:00:06Z</dcterms:modified>
</cp:coreProperties>
</file>